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MCL04\Downloads\"/>
    </mc:Choice>
  </mc:AlternateContent>
  <xr:revisionPtr revIDLastSave="0" documentId="13_ncr:1_{3F44172E-934C-4EDD-B45F-5BE26E5C970D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Motivación e incentivos" sheetId="8" r:id="rId1"/>
    <sheet name="Mapa de motivaciones" sheetId="6" r:id="rId2"/>
    <sheet name="Gráficos motivaciones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7" l="1"/>
  <c r="C22" i="7"/>
  <c r="B22" i="7"/>
  <c r="E22" i="7" s="1"/>
  <c r="B23" i="7" s="1"/>
  <c r="C23" i="7" l="1"/>
  <c r="E23" i="7" s="1"/>
  <c r="D23" i="7"/>
  <c r="F37" i="6"/>
  <c r="G37" i="6"/>
  <c r="H37" i="6"/>
  <c r="I37" i="6"/>
  <c r="F36" i="6"/>
  <c r="G36" i="6"/>
  <c r="H36" i="6"/>
  <c r="I36" i="6"/>
  <c r="F35" i="6"/>
  <c r="G35" i="6"/>
  <c r="H35" i="6"/>
  <c r="I35" i="6"/>
  <c r="F34" i="6"/>
  <c r="G34" i="6"/>
  <c r="H34" i="6"/>
  <c r="I34" i="6"/>
  <c r="F33" i="6"/>
  <c r="G33" i="6"/>
  <c r="H33" i="6"/>
  <c r="I33" i="6"/>
  <c r="E37" i="6"/>
  <c r="E36" i="6"/>
  <c r="E35" i="6"/>
  <c r="E33" i="6"/>
  <c r="E34" i="6"/>
  <c r="I29" i="6" l="1"/>
  <c r="I38" i="6" s="1"/>
  <c r="H29" i="6"/>
  <c r="H38" i="6" s="1"/>
  <c r="G29" i="6"/>
  <c r="G38" i="6" s="1"/>
  <c r="F29" i="6"/>
  <c r="F38" i="6" s="1"/>
  <c r="E29" i="6"/>
  <c r="E38" i="6" s="1"/>
</calcChain>
</file>

<file path=xl/sharedStrings.xml><?xml version="1.0" encoding="utf-8"?>
<sst xmlns="http://schemas.openxmlformats.org/spreadsheetml/2006/main" count="73" uniqueCount="56">
  <si>
    <t>MAPA DE MOTIVACIONES</t>
  </si>
  <si>
    <t>Este mapa ayuda a identificar los aspectos valorados por el personal, a fin de delinear acciones que los motiven.
Asimismo, esta herramienta sirve para definir los recursos disponibles para desarrollar un plan de incentivos (salario emocional) más eficiente.</t>
  </si>
  <si>
    <t>Referencias para la calificación de las motivaciones:</t>
  </si>
  <si>
    <t>BAJA</t>
  </si>
  <si>
    <t>Muestra escaso o nulo interés.</t>
  </si>
  <si>
    <t>MEDIA</t>
  </si>
  <si>
    <t>Reconoce cierto interés para sí mismo o para con sus compañeros.</t>
  </si>
  <si>
    <t>ALTA</t>
  </si>
  <si>
    <t>Lo valora como algo muy importante.</t>
  </si>
  <si>
    <t>RANGO GENERACIONAL</t>
  </si>
  <si>
    <t xml:space="preserve">GENERACIÓN X </t>
  </si>
  <si>
    <t>MILLENNIALS</t>
  </si>
  <si>
    <t>CENTENNIALS</t>
  </si>
  <si>
    <t>1965-1980</t>
  </si>
  <si>
    <t>1980-2000</t>
  </si>
  <si>
    <t>2000-HOY</t>
  </si>
  <si>
    <t>ÁREA DE INTERÉS</t>
  </si>
  <si>
    <t>VALORACIONES</t>
  </si>
  <si>
    <t>Nombre y apellido 1</t>
  </si>
  <si>
    <t>Nombre y apellido 2</t>
  </si>
  <si>
    <t>Nombre y apellido 3</t>
  </si>
  <si>
    <t>Nombre y apellido 4</t>
  </si>
  <si>
    <t>Nombre y apellido 5</t>
  </si>
  <si>
    <t>Cada vendedor ha de calificar de 1 a 3 los cuadros correspondientes a cada área de interés a evaluar. Los resultados de la encuesta se verán reflejados en gráficos en la otra hoja de este Excel para facilitar su análisis y valoración.</t>
  </si>
  <si>
    <t>OPORTUNIDADES DE DESARROLLO</t>
  </si>
  <si>
    <t>¿En qué medida le interesa formarse profesionalmente?</t>
  </si>
  <si>
    <t>¿Cuánto valora la capacitación sobre su rol mediante los cursos en AXION campus y el entrenamiento in-situ?</t>
  </si>
  <si>
    <t>¿En qué medida se ocupa de aprender cosas nuevas para su desarrollo personal?</t>
  </si>
  <si>
    <t>BALANCE DE VIDA</t>
  </si>
  <si>
    <t>¿Cuánto valora contar con francos adicionales por cumplimiento de objetivos?</t>
  </si>
  <si>
    <t>¿En qué medida lo entusiasma recibir premios para compartir con su familia?</t>
  </si>
  <si>
    <t>¿Cuánto le importa contar con descuentos en la tienda y/o consumisiones gratis?</t>
  </si>
  <si>
    <t>AMBIENTE LABORAL</t>
  </si>
  <si>
    <t>¿En qué medida propicia la colaboración con sus compañeros?</t>
  </si>
  <si>
    <t>¿Cuánto interés demuestra en participar de activiades de integración por fuera del trabajo? Ej.: fútbol entre compañeros.</t>
  </si>
  <si>
    <t>¿Cuánto lo entusiasma que lo saluden por su cumpleaños?</t>
  </si>
  <si>
    <t>IDENTIFICACIÓN CON LA ESTACIÓN</t>
  </si>
  <si>
    <t>¿Qué nivel de interés tiene respecto a participar en las decisiones de la EESS?</t>
  </si>
  <si>
    <t>¿En qué medida lo motiva recibir merchandising de premio por sus logros?</t>
  </si>
  <si>
    <t>¿Cuánto lo entusiasma trabajar por objetivos?</t>
  </si>
  <si>
    <t>CULTURA SOCIAL</t>
  </si>
  <si>
    <t>¿En qué medida le interesa brindar charlas a los vecinos del barrio?</t>
  </si>
  <si>
    <t>¿Cuánto valora impulsar acciones de cuidado medioambiental como reciclar?</t>
  </si>
  <si>
    <t>¿En qué nivel promueve el respecto por la diversidad en el equipo de trabajo?</t>
  </si>
  <si>
    <t>% general de motivaciones mediante salario emocional</t>
  </si>
  <si>
    <t>RESULTADOS GENERALES POR ÁREA - 
MAPA DE INCENTIVOS</t>
  </si>
  <si>
    <t>GENERACIÓN - SEGÚN RANGO ETARIO</t>
  </si>
  <si>
    <t>MAPAS DE MOTIVACIONES</t>
  </si>
  <si>
    <t xml:space="preserve">Con la información de las personas que integran tu equipo </t>
  </si>
  <si>
    <t xml:space="preserve">podrás armar tus propios gráficos, los cuales te ayudarán a </t>
  </si>
  <si>
    <t xml:space="preserve">identificar las habilidades y motivaciones de tu equipo </t>
  </si>
  <si>
    <t>de manera integral.</t>
  </si>
  <si>
    <t>Generación X</t>
  </si>
  <si>
    <t>Millennials</t>
  </si>
  <si>
    <t>Centennials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</si>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</sst>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_ ;\-#,##0\ "/>
    <numFmt numFmtId="166" formatCode="#,##0.00_ ;\-#,##0.00\ "/>
    <numFmt numFmtId="167" formatCode="_-* #,##0_-;\-* #,##0_-;_-* &quot;-&quot;??_-;_-@_-"/>
  </numFmts>
  <fonts count="17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sz val="11"/>
      <name val="Arial"/>
      <family val="2"/>
    </font>
    <font>
      <sz val="11"/>
      <color rgb="FFFFFFFF"/>
      <name val="Arial"/>
      <family val="2"/>
    </font>
    <font>
      <sz val="12"/>
      <name val="Arial"/>
      <family val="2"/>
    </font>
    <font>
      <sz val="11"/>
      <color theme="0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DA4AA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/>
      <right/>
      <top style="thick">
        <color rgb="FFFFFFFF"/>
      </top>
      <bottom style="thick">
        <color rgb="FFFFFFFF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/>
    <xf numFmtId="0" fontId="5" fillId="10" borderId="0" xfId="0" applyFont="1" applyFill="1"/>
    <xf numFmtId="0" fontId="6" fillId="10" borderId="3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wrapText="1" readingOrder="1"/>
    </xf>
    <xf numFmtId="0" fontId="7" fillId="7" borderId="3" xfId="0" applyFont="1" applyFill="1" applyBorder="1" applyAlignment="1">
      <alignment horizontal="center" vertical="center" wrapText="1" readingOrder="1"/>
    </xf>
    <xf numFmtId="0" fontId="9" fillId="7" borderId="2" xfId="0" applyFont="1" applyFill="1" applyBorder="1" applyAlignment="1">
      <alignment horizontal="center" vertical="center" wrapText="1" readingOrder="1"/>
    </xf>
    <xf numFmtId="165" fontId="10" fillId="8" borderId="2" xfId="7" applyNumberFormat="1" applyFont="1" applyFill="1" applyBorder="1" applyAlignment="1">
      <alignment horizontal="center" vertical="center" wrapText="1"/>
    </xf>
    <xf numFmtId="10" fontId="10" fillId="8" borderId="2" xfId="6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 readingOrder="1"/>
    </xf>
    <xf numFmtId="166" fontId="10" fillId="8" borderId="2" xfId="7" applyNumberFormat="1" applyFont="1" applyFill="1" applyBorder="1" applyAlignment="1">
      <alignment horizontal="center" vertical="center" wrapText="1"/>
    </xf>
    <xf numFmtId="10" fontId="12" fillId="8" borderId="2" xfId="6" applyNumberFormat="1" applyFont="1" applyFill="1" applyBorder="1" applyAlignment="1">
      <alignment horizontal="center" vertical="center" wrapText="1"/>
    </xf>
    <xf numFmtId="0" fontId="4" fillId="12" borderId="0" xfId="0" applyFont="1" applyFill="1"/>
    <xf numFmtId="0" fontId="11" fillId="0" borderId="0" xfId="0" applyFont="1"/>
    <xf numFmtId="0" fontId="4" fillId="0" borderId="0" xfId="0" applyFont="1" applyAlignment="1">
      <alignment wrapText="1"/>
    </xf>
    <xf numFmtId="167" fontId="14" fillId="8" borderId="0" xfId="7" applyNumberFormat="1" applyFont="1" applyFill="1" applyAlignment="1">
      <alignment horizontal="center" vertical="center"/>
    </xf>
    <xf numFmtId="9" fontId="14" fillId="8" borderId="0" xfId="6" applyFont="1" applyFill="1" applyAlignment="1">
      <alignment horizontal="center" vertical="center"/>
    </xf>
    <xf numFmtId="0" fontId="16" fillId="7" borderId="14" xfId="0" applyFont="1" applyFill="1" applyBorder="1" applyAlignment="1">
      <alignment horizontal="center" vertical="center" wrapText="1" readingOrder="1"/>
    </xf>
    <xf numFmtId="0" fontId="9" fillId="13" borderId="2" xfId="0" applyFont="1" applyFill="1" applyBorder="1" applyAlignment="1">
      <alignment horizontal="left" vertical="center" wrapText="1" indent="1" readingOrder="1"/>
    </xf>
    <xf numFmtId="0" fontId="11" fillId="13" borderId="2" xfId="0" applyFont="1" applyFill="1" applyBorder="1" applyAlignment="1">
      <alignment horizontal="left" vertical="center" wrapText="1" indent="1" readingOrder="1"/>
    </xf>
    <xf numFmtId="0" fontId="6" fillId="6" borderId="3" xfId="0" applyFont="1" applyFill="1" applyBorder="1" applyAlignment="1">
      <alignment horizontal="left" vertical="center" wrapText="1" indent="1" readingOrder="1"/>
    </xf>
    <xf numFmtId="0" fontId="6" fillId="6" borderId="9" xfId="0" applyFont="1" applyFill="1" applyBorder="1" applyAlignment="1">
      <alignment horizontal="left" vertical="center" wrapText="1" indent="1" readingOrder="1"/>
    </xf>
    <xf numFmtId="0" fontId="6" fillId="6" borderId="1" xfId="0" applyFont="1" applyFill="1" applyBorder="1" applyAlignment="1">
      <alignment horizontal="left" vertical="center" wrapText="1" indent="1" readingOrder="1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 readingOrder="1"/>
    </xf>
    <xf numFmtId="0" fontId="6" fillId="6" borderId="15" xfId="0" applyFont="1" applyFill="1" applyBorder="1" applyAlignment="1">
      <alignment horizontal="center" vertical="center" wrapText="1" readingOrder="1"/>
    </xf>
    <xf numFmtId="0" fontId="6" fillId="6" borderId="11" xfId="0" applyFont="1" applyFill="1" applyBorder="1" applyAlignment="1">
      <alignment horizontal="center" vertical="center" wrapText="1" readingOrder="1"/>
    </xf>
    <xf numFmtId="0" fontId="6" fillId="13" borderId="10" xfId="0" applyFont="1" applyFill="1" applyBorder="1" applyAlignment="1">
      <alignment horizontal="center" vertical="center" wrapText="1" readingOrder="1"/>
    </xf>
    <xf numFmtId="0" fontId="6" fillId="13" borderId="15" xfId="0" applyFont="1" applyFill="1" applyBorder="1" applyAlignment="1">
      <alignment horizontal="center" vertical="center" wrapText="1" readingOrder="1"/>
    </xf>
    <xf numFmtId="0" fontId="6" fillId="13" borderId="11" xfId="0" applyFont="1" applyFill="1" applyBorder="1" applyAlignment="1">
      <alignment horizontal="center" vertical="center" wrapText="1" readingOrder="1"/>
    </xf>
    <xf numFmtId="0" fontId="6" fillId="6" borderId="5" xfId="0" applyFont="1" applyFill="1" applyBorder="1" applyAlignment="1">
      <alignment horizontal="center" vertical="center" wrapText="1" readingOrder="1"/>
    </xf>
    <xf numFmtId="0" fontId="6" fillId="6" borderId="6" xfId="0" applyFont="1" applyFill="1" applyBorder="1" applyAlignment="1">
      <alignment horizontal="center" vertical="center" wrapText="1" readingOrder="1"/>
    </xf>
    <xf numFmtId="0" fontId="6" fillId="6" borderId="12" xfId="0" applyFont="1" applyFill="1" applyBorder="1" applyAlignment="1">
      <alignment horizontal="center" vertical="center" wrapText="1" readingOrder="1"/>
    </xf>
    <xf numFmtId="0" fontId="6" fillId="13" borderId="5" xfId="0" applyFont="1" applyFill="1" applyBorder="1" applyAlignment="1">
      <alignment horizontal="center" vertical="center" wrapText="1" readingOrder="1"/>
    </xf>
    <xf numFmtId="0" fontId="6" fillId="13" borderId="6" xfId="0" applyFont="1" applyFill="1" applyBorder="1" applyAlignment="1">
      <alignment horizontal="center" vertical="center" wrapText="1" readingOrder="1"/>
    </xf>
    <xf numFmtId="0" fontId="6" fillId="10" borderId="0" xfId="0" applyFont="1" applyFill="1" applyAlignment="1">
      <alignment horizontal="center" vertical="center" wrapText="1" readingOrder="1"/>
    </xf>
    <xf numFmtId="0" fontId="4" fillId="2" borderId="14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4" fillId="3" borderId="14" xfId="0" applyFont="1" applyFill="1" applyBorder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wrapText="1" indent="1"/>
    </xf>
    <xf numFmtId="0" fontId="4" fillId="4" borderId="14" xfId="0" applyFont="1" applyFill="1" applyBorder="1" applyAlignment="1">
      <alignment horizontal="left" vertical="center" wrapText="1" indent="1"/>
    </xf>
    <xf numFmtId="0" fontId="4" fillId="4" borderId="0" xfId="0" applyFont="1" applyFill="1" applyAlignment="1">
      <alignment horizontal="left" vertical="center" wrapText="1" indent="1"/>
    </xf>
    <xf numFmtId="0" fontId="7" fillId="11" borderId="13" xfId="0" applyFont="1" applyFill="1" applyBorder="1" applyAlignment="1">
      <alignment horizontal="center" vertical="center" wrapText="1" readingOrder="1"/>
    </xf>
    <xf numFmtId="0" fontId="7" fillId="11" borderId="8" xfId="0" applyFont="1" applyFill="1" applyBorder="1" applyAlignment="1">
      <alignment horizontal="center" vertical="center" wrapText="1" readingOrder="1"/>
    </xf>
    <xf numFmtId="0" fontId="6" fillId="10" borderId="13" xfId="0" applyFont="1" applyFill="1" applyBorder="1" applyAlignment="1">
      <alignment horizontal="center" vertical="center" wrapText="1" readingOrder="1"/>
    </xf>
    <xf numFmtId="0" fontId="6" fillId="10" borderId="8" xfId="0" applyFont="1" applyFill="1" applyBorder="1" applyAlignment="1">
      <alignment horizontal="center" vertical="center" wrapText="1" readingOrder="1"/>
    </xf>
    <xf numFmtId="0" fontId="6" fillId="10" borderId="14" xfId="0" applyFont="1" applyFill="1" applyBorder="1" applyAlignment="1">
      <alignment horizontal="center" vertical="center" wrapText="1" readingOrder="1"/>
    </xf>
    <xf numFmtId="0" fontId="6" fillId="10" borderId="4" xfId="0" applyFont="1" applyFill="1" applyBorder="1" applyAlignment="1">
      <alignment horizontal="center" vertical="center" wrapText="1" readingOrder="1"/>
    </xf>
    <xf numFmtId="0" fontId="6" fillId="11" borderId="10" xfId="0" applyFont="1" applyFill="1" applyBorder="1" applyAlignment="1">
      <alignment horizontal="center" vertical="center" readingOrder="1"/>
    </xf>
    <xf numFmtId="0" fontId="6" fillId="11" borderId="11" xfId="0" applyFont="1" applyFill="1" applyBorder="1" applyAlignment="1">
      <alignment horizontal="center" vertical="center" readingOrder="1"/>
    </xf>
    <xf numFmtId="0" fontId="6" fillId="11" borderId="10" xfId="0" applyFont="1" applyFill="1" applyBorder="1" applyAlignment="1">
      <alignment horizontal="center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8" fillId="12" borderId="5" xfId="0" applyFont="1" applyFill="1" applyBorder="1" applyAlignment="1">
      <alignment horizontal="left" vertical="center" wrapText="1" indent="1"/>
    </xf>
    <xf numFmtId="0" fontId="8" fillId="12" borderId="6" xfId="0" applyFont="1" applyFill="1" applyBorder="1" applyAlignment="1">
      <alignment horizontal="left" vertical="center" wrapText="1" indent="1"/>
    </xf>
    <xf numFmtId="0" fontId="13" fillId="5" borderId="0" xfId="0" applyFont="1" applyFill="1" applyAlignment="1">
      <alignment horizontal="left" vertical="center" wrapText="1"/>
    </xf>
    <xf numFmtId="0" fontId="15" fillId="6" borderId="10" xfId="0" applyFont="1" applyFill="1" applyBorder="1" applyAlignment="1">
      <alignment horizontal="center" vertical="center" wrapText="1" readingOrder="1"/>
    </xf>
    <xf numFmtId="0" fontId="15" fillId="6" borderId="15" xfId="0" applyFont="1" applyFill="1" applyBorder="1" applyAlignment="1">
      <alignment horizontal="center" vertical="center" wrapText="1" readingOrder="1"/>
    </xf>
    <xf numFmtId="0" fontId="15" fillId="6" borderId="11" xfId="0" applyFont="1" applyFill="1" applyBorder="1" applyAlignment="1">
      <alignment horizontal="center" vertical="center" wrapText="1" readingOrder="1"/>
    </xf>
    <xf numFmtId="0" fontId="5" fillId="7" borderId="0" xfId="0" applyFont="1" applyFill="1" applyAlignment="1">
      <alignment horizontal="center" vertical="center"/>
    </xf>
  </cellXfs>
  <cellStyles count="8">
    <cellStyle name="0,0_x000d__x000a_NA_x000d__x000a_" xfId="2" xr:uid="{00000000-0005-0000-0000-000000000000}"/>
    <cellStyle name="0,0_x000d__x000a_NA_x000d__x000a_ 2" xfId="3" xr:uid="{00000000-0005-0000-0000-000001000000}"/>
    <cellStyle name="Comma" xfId="7" builtinId="3"/>
    <cellStyle name="Normal" xfId="0" builtinId="0"/>
    <cellStyle name="Normal 2" xfId="1" xr:uid="{00000000-0005-0000-0000-000004000000}"/>
    <cellStyle name="Normal 3" xfId="4" xr:uid="{00000000-0005-0000-0000-000005000000}"/>
    <cellStyle name="Percent" xfId="6" builtinId="5"/>
    <cellStyle name="Porcentaje 2" xfId="5" xr:uid="{00000000-0005-0000-0000-000007000000}"/>
  </cellStyles>
  <dxfs count="0"/>
  <tableStyles count="0" defaultTableStyle="TableStyleMedium2" defaultPivotStyle="PivotStyleLight16"/>
  <colors>
    <mruColors>
      <color rgb="FFFF33CC"/>
      <color rgb="FFFF0F70"/>
      <color rgb="FFFFED00"/>
      <color rgb="FFFFFB5B"/>
      <color rgb="FFDE60B1"/>
      <color rgb="FF4070AA"/>
      <color rgb="FFDA4AA7"/>
      <color rgb="FFFFCCFF"/>
      <color rgb="FFFF66FF"/>
      <color rgb="FFF484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5346020852635953"/>
          <c:y val="1.975460735961787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3228981233895414"/>
          <c:y val="0.14539398876080928"/>
          <c:w val="0.55088838694750497"/>
          <c:h val="0.738631056697850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'Mapa de motivaciones'!$F$13</c:f>
              <c:strCache>
                <c:ptCount val="1"/>
                <c:pt idx="0">
                  <c:v>Nombre y apellido 2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6A49-4497-97A6-3B001761A0C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3-6A49-4497-97A6-3B001761A0C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6A49-4497-97A6-3B001761A0CD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7-6A49-4497-97A6-3B001761A0CD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9-6A49-4497-97A6-3B001761A0CD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B-6A49-4497-97A6-3B001761A0C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D-6A49-4497-97A6-3B001761A0C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F-6A49-4497-97A6-3B001761A0C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1-6A49-4497-97A6-3B001761A0CD}"/>
              </c:ext>
            </c:extLst>
          </c:dPt>
          <c:dPt>
            <c:idx val="9"/>
            <c:invertIfNegative val="0"/>
            <c:bubble3D val="0"/>
            <c:spPr>
              <a:solidFill>
                <a:srgbClr val="FF33CC"/>
              </a:solidFill>
            </c:spPr>
            <c:extLst>
              <c:ext xmlns:c16="http://schemas.microsoft.com/office/drawing/2014/chart" uri="{C3380CC4-5D6E-409C-BE32-E72D297353CC}">
                <c16:uniqueId val="{00000013-6A49-4497-97A6-3B001761A0CD}"/>
              </c:ext>
            </c:extLst>
          </c:dPt>
          <c:dPt>
            <c:idx val="10"/>
            <c:invertIfNegative val="0"/>
            <c:bubble3D val="0"/>
            <c:spPr>
              <a:solidFill>
                <a:srgbClr val="FF33CC"/>
              </a:solidFill>
            </c:spPr>
            <c:extLst>
              <c:ext xmlns:c16="http://schemas.microsoft.com/office/drawing/2014/chart" uri="{C3380CC4-5D6E-409C-BE32-E72D297353CC}">
                <c16:uniqueId val="{00000015-6A49-4497-97A6-3B001761A0CD}"/>
              </c:ext>
            </c:extLst>
          </c:dPt>
          <c:dPt>
            <c:idx val="11"/>
            <c:invertIfNegative val="0"/>
            <c:bubble3D val="0"/>
            <c:spPr>
              <a:solidFill>
                <a:srgbClr val="FF33CC"/>
              </a:solidFill>
            </c:spPr>
            <c:extLst>
              <c:ext xmlns:c16="http://schemas.microsoft.com/office/drawing/2014/chart" uri="{C3380CC4-5D6E-409C-BE32-E72D297353CC}">
                <c16:uniqueId val="{00000017-6A49-4497-97A6-3B001761A0CD}"/>
              </c:ext>
            </c:extLst>
          </c:dPt>
          <c:dPt>
            <c:idx val="12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19-6A49-4497-97A6-3B001761A0CD}"/>
              </c:ext>
            </c:extLst>
          </c:dPt>
          <c:dPt>
            <c:idx val="13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1B-6A49-4497-97A6-3B001761A0CD}"/>
              </c:ext>
            </c:extLst>
          </c:dPt>
          <c:dPt>
            <c:idx val="14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1D-6A49-4497-97A6-3B001761A0CD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6A49-4497-97A6-3B001761A0CD}"/>
              </c:ext>
            </c:extLst>
          </c:dPt>
          <c:dLbls>
            <c:dLbl>
              <c:idx val="1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A49-4497-97A6-3B001761A0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'Mapa de motivaciones'!$B$14:$B$29</c:f>
              <c:strCache>
                <c:ptCount val="16"/>
                <c:pt idx="0">
                  <c:v>OPORTUNIDADES DE DESARROLLO</c:v>
                </c:pt>
                <c:pt idx="3">
                  <c:v>BALANCE DE VIDA</c:v>
                </c:pt>
                <c:pt idx="6">
                  <c:v>AMBIENTE LABORAL</c:v>
                </c:pt>
                <c:pt idx="9">
                  <c:v>IDENTIFICACIÓN CON LA ESTACIÓN</c:v>
                </c:pt>
                <c:pt idx="12">
                  <c:v>CULTURA SOCIAL</c:v>
                </c:pt>
                <c:pt idx="15">
                  <c:v>% general de motivaciones mediante salario emocional</c:v>
                </c:pt>
              </c:strCache>
            </c:strRef>
          </c:cat>
          <c:val>
            <c:numRef>
              <c:f>'Mapa de motivaciones'!$F$14:$F$29</c:f>
              <c:numCache>
                <c:formatCode>#,##0_ ;\-#,##0\ 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 formatCode="0.00%">
                  <c:v>0.75555555555555554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A49-4497-97A6-3B001761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axId val="246147328"/>
        <c:axId val="246153216"/>
      </c:barChart>
      <c:catAx>
        <c:axId val="24614732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6153216"/>
        <c:crosses val="autoZero"/>
        <c:auto val="1"/>
        <c:lblAlgn val="r"/>
        <c:lblOffset val="100"/>
        <c:noMultiLvlLbl val="0"/>
      </c:catAx>
      <c:valAx>
        <c:axId val="246153216"/>
        <c:scaling>
          <c:orientation val="minMax"/>
          <c:max val="3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_ ;\-#,##0\ " sourceLinked="1"/>
        <c:majorTickMark val="out"/>
        <c:minorTickMark val="none"/>
        <c:tickLblPos val="nextTo"/>
        <c:crossAx val="246147328"/>
        <c:crosses val="autoZero"/>
        <c:crossBetween val="between"/>
        <c:majorUnit val="1"/>
      </c:valAx>
    </c:plotArea>
    <c:plotVisOnly val="1"/>
    <c:dispBlanksAs val="gap"/>
    <c:showDLblsOverMax val="0"/>
  </c:chart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5346020852635953"/>
          <c:y val="1.975460735961787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3228981233895414"/>
          <c:y val="0.14539398876080928"/>
          <c:w val="0.55088838694750497"/>
          <c:h val="0.738631056697850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'Mapa de motivaciones'!$E$13</c:f>
              <c:strCache>
                <c:ptCount val="1"/>
                <c:pt idx="0">
                  <c:v>Nombre y apellido 1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499B-47F1-BD8B-116DF4D4A16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3-499B-47F1-BD8B-116DF4D4A16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499B-47F1-BD8B-116DF4D4A16E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7-499B-47F1-BD8B-116DF4D4A16E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9-499B-47F1-BD8B-116DF4D4A16E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B-499B-47F1-BD8B-116DF4D4A1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D-499B-47F1-BD8B-116DF4D4A16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F-499B-47F1-BD8B-116DF4D4A16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11-499B-47F1-BD8B-116DF4D4A16E}"/>
              </c:ext>
            </c:extLst>
          </c:dPt>
          <c:dPt>
            <c:idx val="9"/>
            <c:invertIfNegative val="0"/>
            <c:bubble3D val="0"/>
            <c:spPr>
              <a:solidFill>
                <a:srgbClr val="FF33CC"/>
              </a:solidFill>
            </c:spPr>
            <c:extLst>
              <c:ext xmlns:c16="http://schemas.microsoft.com/office/drawing/2014/chart" uri="{C3380CC4-5D6E-409C-BE32-E72D297353CC}">
                <c16:uniqueId val="{00000013-499B-47F1-BD8B-116DF4D4A16E}"/>
              </c:ext>
            </c:extLst>
          </c:dPt>
          <c:dPt>
            <c:idx val="10"/>
            <c:invertIfNegative val="0"/>
            <c:bubble3D val="0"/>
            <c:spPr>
              <a:solidFill>
                <a:srgbClr val="FF33CC"/>
              </a:solidFill>
            </c:spPr>
            <c:extLst>
              <c:ext xmlns:c16="http://schemas.microsoft.com/office/drawing/2014/chart" uri="{C3380CC4-5D6E-409C-BE32-E72D297353CC}">
                <c16:uniqueId val="{00000015-499B-47F1-BD8B-116DF4D4A16E}"/>
              </c:ext>
            </c:extLst>
          </c:dPt>
          <c:dPt>
            <c:idx val="11"/>
            <c:invertIfNegative val="0"/>
            <c:bubble3D val="0"/>
            <c:spPr>
              <a:solidFill>
                <a:srgbClr val="FF33CC"/>
              </a:solidFill>
            </c:spPr>
            <c:extLst>
              <c:ext xmlns:c16="http://schemas.microsoft.com/office/drawing/2014/chart" uri="{C3380CC4-5D6E-409C-BE32-E72D297353CC}">
                <c16:uniqueId val="{00000017-499B-47F1-BD8B-116DF4D4A16E}"/>
              </c:ext>
            </c:extLst>
          </c:dPt>
          <c:dPt>
            <c:idx val="12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19-499B-47F1-BD8B-116DF4D4A16E}"/>
              </c:ext>
            </c:extLst>
          </c:dPt>
          <c:dPt>
            <c:idx val="13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1B-499B-47F1-BD8B-116DF4D4A16E}"/>
              </c:ext>
            </c:extLst>
          </c:dPt>
          <c:dPt>
            <c:idx val="14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1D-499B-47F1-BD8B-116DF4D4A16E}"/>
              </c:ext>
            </c:extLst>
          </c:dPt>
          <c:dPt>
            <c:idx val="15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499B-47F1-BD8B-116DF4D4A16E}"/>
              </c:ext>
            </c:extLst>
          </c:dPt>
          <c:dLbls>
            <c:dLbl>
              <c:idx val="1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99B-47F1-BD8B-116DF4D4A16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'Mapa de motivaciones'!$B$14:$B$29</c:f>
              <c:strCache>
                <c:ptCount val="16"/>
                <c:pt idx="0">
                  <c:v>OPORTUNIDADES DE DESARROLLO</c:v>
                </c:pt>
                <c:pt idx="3">
                  <c:v>BALANCE DE VIDA</c:v>
                </c:pt>
                <c:pt idx="6">
                  <c:v>AMBIENTE LABORAL</c:v>
                </c:pt>
                <c:pt idx="9">
                  <c:v>IDENTIFICACIÓN CON LA ESTACIÓN</c:v>
                </c:pt>
                <c:pt idx="12">
                  <c:v>CULTURA SOCIAL</c:v>
                </c:pt>
                <c:pt idx="15">
                  <c:v>% general de motivaciones mediante salario emocional</c:v>
                </c:pt>
              </c:strCache>
            </c:strRef>
          </c:cat>
          <c:val>
            <c:numRef>
              <c:f>'Mapa de motivaciones'!$E$14:$E$29</c:f>
              <c:numCache>
                <c:formatCode>#,##0_ ;\-#,##0\ 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 formatCode="0.00%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99B-47F1-BD8B-116DF4D4A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5"/>
        <c:axId val="246217344"/>
        <c:axId val="246223232"/>
      </c:barChart>
      <c:catAx>
        <c:axId val="24621734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46223232"/>
        <c:crosses val="autoZero"/>
        <c:auto val="1"/>
        <c:lblAlgn val="r"/>
        <c:lblOffset val="100"/>
        <c:noMultiLvlLbl val="0"/>
      </c:catAx>
      <c:valAx>
        <c:axId val="246223232"/>
        <c:scaling>
          <c:orientation val="minMax"/>
          <c:max val="3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_ ;\-#,##0\ " sourceLinked="1"/>
        <c:majorTickMark val="out"/>
        <c:minorTickMark val="none"/>
        <c:tickLblPos val="nextTo"/>
        <c:crossAx val="246217344"/>
        <c:crosses val="autoZero"/>
        <c:crossBetween val="between"/>
        <c:majorUnit val="1"/>
      </c:valAx>
    </c:plotArea>
    <c:plotVisOnly val="1"/>
    <c:dispBlanksAs val="gap"/>
    <c:showDLblsOverMax val="0"/>
  </c:chart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1.7675194034222113E-2"/>
          <c:y val="3.24074074074074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9513816137789645E-2"/>
          <c:y val="0.14814814814814814"/>
          <c:w val="0.54364435003589007"/>
          <c:h val="0.85185189489690172"/>
        </c:manualLayout>
      </c:layout>
      <c:pieChart>
        <c:varyColors val="1"/>
        <c:ser>
          <c:idx val="0"/>
          <c:order val="0"/>
          <c:tx>
            <c:strRef>
              <c:f>'Gráficos motivaciones'!$B$20:$D$20</c:f>
              <c:strCache>
                <c:ptCount val="3"/>
                <c:pt idx="0">
                  <c:v>GENERACIÓN - SEGÚN RANGO ETARIO</c:v>
                </c:pt>
              </c:strCache>
            </c:strRef>
          </c:tx>
          <c:dPt>
            <c:idx val="0"/>
            <c:bubble3D val="0"/>
            <c:spPr>
              <a:solidFill>
                <a:srgbClr val="4070AA"/>
              </a:solidFill>
            </c:spPr>
            <c:extLst>
              <c:ext xmlns:c16="http://schemas.microsoft.com/office/drawing/2014/chart" uri="{C3380CC4-5D6E-409C-BE32-E72D297353CC}">
                <c16:uniqueId val="{00000001-CCA9-4D18-A5DC-4C96EBF68518}"/>
              </c:ext>
            </c:extLst>
          </c:dPt>
          <c:dPt>
            <c:idx val="1"/>
            <c:bubble3D val="0"/>
            <c:spPr>
              <a:solidFill>
                <a:srgbClr val="DE60B1"/>
              </a:solidFill>
            </c:spPr>
            <c:extLst>
              <c:ext xmlns:c16="http://schemas.microsoft.com/office/drawing/2014/chart" uri="{C3380CC4-5D6E-409C-BE32-E72D297353CC}">
                <c16:uniqueId val="{00000003-CCA9-4D18-A5DC-4C96EBF68518}"/>
              </c:ext>
            </c:extLst>
          </c:dPt>
          <c:dPt>
            <c:idx val="2"/>
            <c:bubble3D val="0"/>
            <c:spPr>
              <a:solidFill>
                <a:srgbClr val="FFFB5B"/>
              </a:solidFill>
            </c:spPr>
            <c:extLst>
              <c:ext xmlns:c16="http://schemas.microsoft.com/office/drawing/2014/chart" uri="{C3380CC4-5D6E-409C-BE32-E72D297353CC}">
                <c16:uniqueId val="{00000005-CCA9-4D18-A5DC-4C96EBF6851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'Gráficos motivaciones'!$B$21:$D$21</c:f>
              <c:strCache>
                <c:ptCount val="3"/>
                <c:pt idx="0">
                  <c:v>Generación X</c:v>
                </c:pt>
                <c:pt idx="1">
                  <c:v>Millennials</c:v>
                </c:pt>
                <c:pt idx="2">
                  <c:v>Centennials</c:v>
                </c:pt>
              </c:strCache>
            </c:strRef>
          </c:cat>
          <c:val>
            <c:numRef>
              <c:f>'Gráficos motivaciones'!$B$23:$D$23</c:f>
              <c:numCache>
                <c:formatCode>0%</c:formatCode>
                <c:ptCount val="3"/>
                <c:pt idx="0">
                  <c:v>0.4</c:v>
                </c:pt>
                <c:pt idx="1">
                  <c:v>0.4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A9-4D18-A5DC-4C96EBF685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290446927989588"/>
          <c:y val="0.20660565030847158"/>
          <c:w val="0.36595090849695289"/>
          <c:h val="0.586788057742782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RESULTADOS GENERALES POR ÁREA - MAPA DE INCENTIVOS</a:t>
            </a:r>
          </a:p>
        </c:rich>
      </c:tx>
      <c:layout>
        <c:manualLayout>
          <c:xMode val="edge"/>
          <c:yMode val="edge"/>
          <c:x val="1.1608437834159638E-2"/>
          <c:y val="1.86915887850467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3785821216792344"/>
          <c:y val="0.1350381435965364"/>
          <c:w val="0.44879079004013395"/>
          <c:h val="0.748982019770893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'Mapa de motivaciones'!$E$31</c:f>
              <c:strCache>
                <c:ptCount val="1"/>
                <c:pt idx="0">
                  <c:v>Nombre y apellido 1</c:v>
                </c:pt>
              </c:strCache>
            </c:strRef>
          </c:tx>
          <c:invertIfNegative val="0"/>
          <c:dLbls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E9-4AD1-A658-A86BC083788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'Mapa de motivaciones'!$B$33:$B$38</c:f>
              <c:strCache>
                <c:ptCount val="6"/>
                <c:pt idx="0">
                  <c:v>OPORTUNIDADES DE DESARROLLO</c:v>
                </c:pt>
                <c:pt idx="1">
                  <c:v>BALANCE DE VIDA</c:v>
                </c:pt>
                <c:pt idx="2">
                  <c:v>AMBIENTE LABORAL</c:v>
                </c:pt>
                <c:pt idx="3">
                  <c:v>IDENTIFICACIÓN CON LA ESTACIÓN</c:v>
                </c:pt>
                <c:pt idx="4">
                  <c:v>CULTURA SOCIAL</c:v>
                </c:pt>
                <c:pt idx="5">
                  <c:v>% general de motivaciones mediante salario emocional</c:v>
                </c:pt>
              </c:strCache>
            </c:strRef>
          </c:cat>
          <c:val>
            <c:numRef>
              <c:f>'Mapa de motivaciones'!$E$33:$E$38</c:f>
              <c:numCache>
                <c:formatCode>#,##0.00_ ;\-#,##0.00\ </c:formatCode>
                <c:ptCount val="6"/>
                <c:pt idx="0">
                  <c:v>1</c:v>
                </c:pt>
                <c:pt idx="1">
                  <c:v>1.3333333333333333</c:v>
                </c:pt>
                <c:pt idx="2">
                  <c:v>2</c:v>
                </c:pt>
                <c:pt idx="3">
                  <c:v>1.3333333333333333</c:v>
                </c:pt>
                <c:pt idx="4">
                  <c:v>2.3333333333333335</c:v>
                </c:pt>
                <c:pt idx="5" formatCode="0.00%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9-4AD1-A658-A86BC0837889}"/>
            </c:ext>
          </c:extLst>
        </c:ser>
        <c:ser>
          <c:idx val="1"/>
          <c:order val="1"/>
          <c:tx>
            <c:strRef>
              <c:f>'Mapa de motivaciones'!$F$31</c:f>
              <c:strCache>
                <c:ptCount val="1"/>
                <c:pt idx="0">
                  <c:v>Nombre y apellido 2</c:v>
                </c:pt>
              </c:strCache>
            </c:strRef>
          </c:tx>
          <c:spPr>
            <a:solidFill>
              <a:srgbClr val="FF33CC"/>
            </a:solidFill>
          </c:spPr>
          <c:invertIfNegative val="0"/>
          <c:dLbls>
            <c:dLbl>
              <c:idx val="5"/>
              <c:layout>
                <c:manualLayout>
                  <c:x val="1.4108236470441195E-3"/>
                  <c:y val="3.115264797507802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E9-4AD1-A658-A86BC083788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'Mapa de motivaciones'!$B$33:$B$38</c:f>
              <c:strCache>
                <c:ptCount val="6"/>
                <c:pt idx="0">
                  <c:v>OPORTUNIDADES DE DESARROLLO</c:v>
                </c:pt>
                <c:pt idx="1">
                  <c:v>BALANCE DE VIDA</c:v>
                </c:pt>
                <c:pt idx="2">
                  <c:v>AMBIENTE LABORAL</c:v>
                </c:pt>
                <c:pt idx="3">
                  <c:v>IDENTIFICACIÓN CON LA ESTACIÓN</c:v>
                </c:pt>
                <c:pt idx="4">
                  <c:v>CULTURA SOCIAL</c:v>
                </c:pt>
                <c:pt idx="5">
                  <c:v>% general de motivaciones mediante salario emocional</c:v>
                </c:pt>
              </c:strCache>
            </c:strRef>
          </c:cat>
          <c:val>
            <c:numRef>
              <c:f>'Mapa de motivaciones'!$F$33:$F$38</c:f>
              <c:numCache>
                <c:formatCode>#,##0.00_ ;\-#,##0.00\ </c:formatCode>
                <c:ptCount val="6"/>
                <c:pt idx="0">
                  <c:v>2.6666666666666665</c:v>
                </c:pt>
                <c:pt idx="1">
                  <c:v>2.6666666666666665</c:v>
                </c:pt>
                <c:pt idx="2">
                  <c:v>2.3333333333333335</c:v>
                </c:pt>
                <c:pt idx="3">
                  <c:v>1.6666666666666667</c:v>
                </c:pt>
                <c:pt idx="4">
                  <c:v>2</c:v>
                </c:pt>
                <c:pt idx="5" formatCode="0.00%">
                  <c:v>0.75555555555555554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E9-4AD1-A658-A86BC0837889}"/>
            </c:ext>
          </c:extLst>
        </c:ser>
        <c:ser>
          <c:idx val="2"/>
          <c:order val="2"/>
          <c:tx>
            <c:strRef>
              <c:f>'Mapa de motivaciones'!$G$31</c:f>
              <c:strCache>
                <c:ptCount val="1"/>
                <c:pt idx="0">
                  <c:v>Nombre y apellido 3</c:v>
                </c:pt>
              </c:strCache>
            </c:strRef>
          </c:tx>
          <c:invertIfNegative val="0"/>
          <c:dLbls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E9-4AD1-A658-A86BC083788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'Mapa de motivaciones'!$B$33:$B$38</c:f>
              <c:strCache>
                <c:ptCount val="6"/>
                <c:pt idx="0">
                  <c:v>OPORTUNIDADES DE DESARROLLO</c:v>
                </c:pt>
                <c:pt idx="1">
                  <c:v>BALANCE DE VIDA</c:v>
                </c:pt>
                <c:pt idx="2">
                  <c:v>AMBIENTE LABORAL</c:v>
                </c:pt>
                <c:pt idx="3">
                  <c:v>IDENTIFICACIÓN CON LA ESTACIÓN</c:v>
                </c:pt>
                <c:pt idx="4">
                  <c:v>CULTURA SOCIAL</c:v>
                </c:pt>
                <c:pt idx="5">
                  <c:v>% general de motivaciones mediante salario emocional</c:v>
                </c:pt>
              </c:strCache>
            </c:strRef>
          </c:cat>
          <c:val>
            <c:numRef>
              <c:f>'Mapa de motivaciones'!$G$33:$G$38</c:f>
              <c:numCache>
                <c:formatCode>#,##0.00_ ;\-#,##0.00\ </c:formatCode>
                <c:ptCount val="6"/>
                <c:pt idx="0">
                  <c:v>2.3333333333333335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 formatCode="0.00%">
                  <c:v>0.8222222222222223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E9-4AD1-A658-A86BC0837889}"/>
            </c:ext>
          </c:extLst>
        </c:ser>
        <c:ser>
          <c:idx val="3"/>
          <c:order val="3"/>
          <c:tx>
            <c:strRef>
              <c:f>'Mapa de motivaciones'!$H$31</c:f>
              <c:strCache>
                <c:ptCount val="1"/>
                <c:pt idx="0">
                  <c:v>Nombre y apellido 4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dLbls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E9-4AD1-A658-A86BC083788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'Mapa de motivaciones'!$B$33:$B$38</c:f>
              <c:strCache>
                <c:ptCount val="6"/>
                <c:pt idx="0">
                  <c:v>OPORTUNIDADES DE DESARROLLO</c:v>
                </c:pt>
                <c:pt idx="1">
                  <c:v>BALANCE DE VIDA</c:v>
                </c:pt>
                <c:pt idx="2">
                  <c:v>AMBIENTE LABORAL</c:v>
                </c:pt>
                <c:pt idx="3">
                  <c:v>IDENTIFICACIÓN CON LA ESTACIÓN</c:v>
                </c:pt>
                <c:pt idx="4">
                  <c:v>CULTURA SOCIAL</c:v>
                </c:pt>
                <c:pt idx="5">
                  <c:v>% general de motivaciones mediante salario emocional</c:v>
                </c:pt>
              </c:strCache>
            </c:strRef>
          </c:cat>
          <c:val>
            <c:numRef>
              <c:f>'Mapa de motivaciones'!$H$33:$H$38</c:f>
              <c:numCache>
                <c:formatCode>#,##0.00_ ;\-#,##0.00\ </c:formatCode>
                <c:ptCount val="6"/>
                <c:pt idx="0">
                  <c:v>1.6666666666666667</c:v>
                </c:pt>
                <c:pt idx="1">
                  <c:v>2.3333333333333335</c:v>
                </c:pt>
                <c:pt idx="2">
                  <c:v>1</c:v>
                </c:pt>
                <c:pt idx="3">
                  <c:v>1.6666666666666667</c:v>
                </c:pt>
                <c:pt idx="4">
                  <c:v>1.3333333333333333</c:v>
                </c:pt>
                <c:pt idx="5" formatCode="0.00%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EE9-4AD1-A658-A86BC0837889}"/>
            </c:ext>
          </c:extLst>
        </c:ser>
        <c:ser>
          <c:idx val="4"/>
          <c:order val="4"/>
          <c:tx>
            <c:strRef>
              <c:f>'Mapa de motivaciones'!$I$31</c:f>
              <c:strCache>
                <c:ptCount val="1"/>
                <c:pt idx="0">
                  <c:v>Nombre y apellido 5</c:v>
                </c:pt>
              </c:strCache>
            </c:strRef>
          </c:tx>
          <c:spPr>
            <a:solidFill>
              <a:srgbClr val="FFFB5B"/>
            </a:solidFill>
          </c:spPr>
          <c:invertIfNegative val="0"/>
          <c:dLbls>
            <c:dLbl>
              <c:idx val="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EE9-4AD1-A658-A86BC083788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'Mapa de motivaciones'!$B$33:$B$38</c:f>
              <c:strCache>
                <c:ptCount val="6"/>
                <c:pt idx="0">
                  <c:v>OPORTUNIDADES DE DESARROLLO</c:v>
                </c:pt>
                <c:pt idx="1">
                  <c:v>BALANCE DE VIDA</c:v>
                </c:pt>
                <c:pt idx="2">
                  <c:v>AMBIENTE LABORAL</c:v>
                </c:pt>
                <c:pt idx="3">
                  <c:v>IDENTIFICACIÓN CON LA ESTACIÓN</c:v>
                </c:pt>
                <c:pt idx="4">
                  <c:v>CULTURA SOCIAL</c:v>
                </c:pt>
                <c:pt idx="5">
                  <c:v>% general de motivaciones mediante salario emocional</c:v>
                </c:pt>
              </c:strCache>
            </c:strRef>
          </c:cat>
          <c:val>
            <c:numRef>
              <c:f>'Mapa de motivaciones'!$I$33:$I$38</c:f>
              <c:numCache>
                <c:formatCode>#,##0.00_ ;\-#,##0.00\ </c:formatCode>
                <c:ptCount val="6"/>
                <c:pt idx="0">
                  <c:v>2.3333333333333335</c:v>
                </c:pt>
                <c:pt idx="1">
                  <c:v>2.6666666666666665</c:v>
                </c:pt>
                <c:pt idx="2">
                  <c:v>2</c:v>
                </c:pt>
                <c:pt idx="3">
                  <c:v>2.6666666666666665</c:v>
                </c:pt>
                <c:pt idx="4">
                  <c:v>2.3333333333333335</c:v>
                </c:pt>
                <c:pt idx="5" formatCode="0.00%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EE9-4AD1-A658-A86BC0837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15"/>
        <c:axId val="246378496"/>
        <c:axId val="246380032"/>
      </c:barChart>
      <c:catAx>
        <c:axId val="24637849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246380032"/>
        <c:crosses val="autoZero"/>
        <c:auto val="1"/>
        <c:lblAlgn val="ctr"/>
        <c:lblOffset val="100"/>
        <c:noMultiLvlLbl val="0"/>
      </c:catAx>
      <c:valAx>
        <c:axId val="246380032"/>
        <c:scaling>
          <c:orientation val="minMax"/>
          <c:max val="3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.00_ ;\-#,##0.00\ " sourceLinked="1"/>
        <c:majorTickMark val="out"/>
        <c:minorTickMark val="none"/>
        <c:tickLblPos val="nextTo"/>
        <c:crossAx val="24637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330864197530862"/>
          <c:y val="2.271862045281724E-2"/>
          <c:w val="0.15976014109347442"/>
          <c:h val="0.42496749822160079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0</xdr:row>
      <xdr:rowOff>0</xdr:rowOff>
    </xdr:from>
    <xdr:to>
      <xdr:col>14</xdr:col>
      <xdr:colOff>752475</xdr:colOff>
      <xdr:row>2</xdr:row>
      <xdr:rowOff>153572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410325" y="0"/>
          <a:ext cx="5010150" cy="534572"/>
          <a:chOff x="4733925" y="47625"/>
          <a:chExt cx="5562600" cy="534572"/>
        </a:xfrm>
      </xdr:grpSpPr>
      <xdr:grpSp>
        <xdr:nvGrpSpPr>
          <xdr:cNvPr id="3" name="9 Grupo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4733925" y="129174"/>
            <a:ext cx="4868419" cy="371475"/>
            <a:chOff x="5883555" y="2039940"/>
            <a:chExt cx="4481497" cy="346335"/>
          </a:xfrm>
        </xdr:grpSpPr>
        <xdr:pic>
          <xdr:nvPicPr>
            <xdr:cNvPr id="5" name="Picture 2" descr="C:\Users\Door 1\Documents\Institucional DOOR\LOGO DOOR 2020\01 Isologo Blue sin R\DOOR_IsoLogo_Horizontal_Blue_RGB_small.png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684" t="10035" r="2287" b="10035"/>
            <a:stretch/>
          </xdr:blipFill>
          <xdr:spPr bwMode="auto">
            <a:xfrm>
              <a:off x="5883555" y="2039940"/>
              <a:ext cx="2520000" cy="34633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" name="Picture 2" descr="C:\Users\Door 1\Documents\Comunicación\LOGOS\AXION-MktInst-Color.png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9720" t="22229" r="8073" b="26152"/>
            <a:stretch/>
          </xdr:blipFill>
          <xdr:spPr bwMode="auto">
            <a:xfrm>
              <a:off x="8682845" y="2047503"/>
              <a:ext cx="1682207" cy="3240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72650" y="47625"/>
            <a:ext cx="523875" cy="53457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180975</xdr:colOff>
      <xdr:row>4</xdr:row>
      <xdr:rowOff>95250</xdr:rowOff>
    </xdr:from>
    <xdr:to>
      <xdr:col>12</xdr:col>
      <xdr:colOff>610766</xdr:colOff>
      <xdr:row>31</xdr:row>
      <xdr:rowOff>3549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942975" y="857250"/>
          <a:ext cx="8811791" cy="5051799"/>
          <a:chOff x="923925" y="704850"/>
          <a:chExt cx="8811791" cy="5051799"/>
        </a:xfrm>
      </xdr:grpSpPr>
      <xdr:grpSp>
        <xdr:nvGrpSpPr>
          <xdr:cNvPr id="7" name="13 Grupo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2178904" y="1479263"/>
            <a:ext cx="2824708" cy="1633259"/>
            <a:chOff x="1481961" y="1783667"/>
            <a:chExt cx="2824708" cy="1633259"/>
          </a:xfrm>
        </xdr:grpSpPr>
        <xdr:pic>
          <xdr:nvPicPr>
            <xdr:cNvPr id="27" name="Picture 3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duotone>
                <a:prstClr val="black"/>
                <a:srgbClr val="D40F7D">
                  <a:tint val="45000"/>
                  <a:satMod val="400000"/>
                </a:srgbClr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481961" y="1783667"/>
              <a:ext cx="1107895" cy="110789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28" name="Text Placeholder 4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 txBox="1">
              <a:spLocks/>
            </xdr:cNvSpPr>
          </xdr:nvSpPr>
          <xdr:spPr>
            <a:xfrm>
              <a:off x="2434669" y="2408926"/>
              <a:ext cx="1872000" cy="1008000"/>
            </a:xfrm>
            <a:prstGeom prst="rect">
              <a:avLst/>
            </a:prstGeom>
            <a:solidFill>
              <a:srgbClr val="44546A">
                <a:alpha val="80000"/>
              </a:srgbClr>
            </a:solidFill>
          </xdr:spPr>
          <xdr:txBody>
            <a:bodyPr wrap="square" numCol="1">
              <a:noAutofit/>
            </a:bodyPr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9pPr>
            </a:lstStyle>
            <a:p>
              <a:pPr algn="ctr">
                <a:spcBef>
                  <a:spcPts val="600"/>
                </a:spcBef>
                <a:tabLst>
                  <a:tab pos="4741863" algn="l"/>
                </a:tabLst>
              </a:pPr>
              <a:r>
                <a:rPr lang="es-ES" sz="2000" b="1">
                  <a:solidFill>
                    <a:sysClr val="window" lastClr="FFFFFF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Objetivos de ventas y desempeño</a:t>
              </a:r>
            </a:p>
            <a:p>
              <a:pPr algn="ctr">
                <a:spcBef>
                  <a:spcPts val="600"/>
                </a:spcBef>
                <a:tabLst>
                  <a:tab pos="4741863" algn="l"/>
                </a:tabLst>
              </a:pPr>
              <a:endParaRPr lang="en-US" sz="2000" b="1">
                <a:solidFill>
                  <a:sysClr val="window" lastClr="FFFFFF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8" name="12 Grupo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/>
        </xdr:nvGrpSpPr>
        <xdr:grpSpPr>
          <a:xfrm>
            <a:off x="5653804" y="1412998"/>
            <a:ext cx="2646532" cy="1699524"/>
            <a:chOff x="8414199" y="1717402"/>
            <a:chExt cx="2646532" cy="1699524"/>
          </a:xfrm>
        </xdr:grpSpPr>
        <xdr:sp macro="" textlink="">
          <xdr:nvSpPr>
            <xdr:cNvPr id="17" name="Text Placeholder 4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>
              <a:spLocks/>
            </xdr:cNvSpPr>
          </xdr:nvSpPr>
          <xdr:spPr>
            <a:xfrm>
              <a:off x="8414199" y="2408926"/>
              <a:ext cx="1872000" cy="1008000"/>
            </a:xfrm>
            <a:prstGeom prst="rect">
              <a:avLst/>
            </a:prstGeom>
            <a:solidFill>
              <a:srgbClr val="D4107E">
                <a:alpha val="80000"/>
              </a:srgbClr>
            </a:solidFill>
          </xdr:spPr>
          <xdr:txBody>
            <a:bodyPr wrap="square" numCol="1">
              <a:noAutofit/>
            </a:bodyPr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ysClr val="windowText" lastClr="000000"/>
                  </a:solidFill>
                  <a:latin typeface="Gotham Light"/>
                </a:defRPr>
              </a:lvl9pPr>
            </a:lstStyle>
            <a:p>
              <a:pPr algn="ctr">
                <a:spcBef>
                  <a:spcPts val="600"/>
                </a:spcBef>
                <a:tabLst>
                  <a:tab pos="4741863" algn="l"/>
                </a:tabLst>
              </a:pPr>
              <a:r>
                <a:rPr lang="es-ES" sz="2000" b="1">
                  <a:solidFill>
                    <a:sysClr val="window" lastClr="FFFFFF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Salario emocional y económico</a:t>
              </a:r>
            </a:p>
            <a:p>
              <a:pPr algn="ctr">
                <a:spcBef>
                  <a:spcPts val="600"/>
                </a:spcBef>
                <a:tabLst>
                  <a:tab pos="4741863" algn="l"/>
                </a:tabLst>
              </a:pPr>
              <a:endParaRPr lang="en-US" sz="2000" b="1">
                <a:solidFill>
                  <a:sysClr val="window" lastClr="FFFFFF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grpSp>
          <xdr:nvGrpSpPr>
            <xdr:cNvPr id="18" name="2 Grup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GrpSpPr/>
          </xdr:nvGrpSpPr>
          <xdr:grpSpPr>
            <a:xfrm>
              <a:off x="10191944" y="1717402"/>
              <a:ext cx="868787" cy="1280731"/>
              <a:chOff x="9117116" y="2487656"/>
              <a:chExt cx="587573" cy="866180"/>
            </a:xfrm>
          </xdr:grpSpPr>
          <xdr:sp macro="" textlink="">
            <xdr:nvSpPr>
              <xdr:cNvPr id="19" name="object 37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SpPr/>
            </xdr:nvSpPr>
            <xdr:spPr>
              <a:xfrm>
                <a:off x="9253799" y="2993278"/>
                <a:ext cx="151805" cy="315516"/>
              </a:xfrm>
              <a:custGeom>
                <a:avLst/>
                <a:gdLst/>
                <a:ahLst/>
                <a:cxnLst/>
                <a:rect l="l" t="t" r="r" b="b"/>
                <a:pathLst>
                  <a:path w="161925" h="336550">
                    <a:moveTo>
                      <a:pt x="0" y="336436"/>
                    </a:moveTo>
                    <a:lnTo>
                      <a:pt x="36800" y="8926"/>
                    </a:lnTo>
                    <a:lnTo>
                      <a:pt x="65558" y="0"/>
                    </a:lnTo>
                    <a:lnTo>
                      <a:pt x="101930" y="78681"/>
                    </a:lnTo>
                    <a:lnTo>
                      <a:pt x="160065" y="78681"/>
                    </a:lnTo>
                    <a:lnTo>
                      <a:pt x="161650" y="191660"/>
                    </a:lnTo>
                    <a:lnTo>
                      <a:pt x="0" y="336436"/>
                    </a:lnTo>
                    <a:close/>
                  </a:path>
                  <a:path w="161925" h="336550">
                    <a:moveTo>
                      <a:pt x="160065" y="78681"/>
                    </a:moveTo>
                    <a:lnTo>
                      <a:pt x="101930" y="78681"/>
                    </a:lnTo>
                    <a:lnTo>
                      <a:pt x="159361" y="28501"/>
                    </a:lnTo>
                    <a:lnTo>
                      <a:pt x="160065" y="78681"/>
                    </a:lnTo>
                    <a:close/>
                  </a:path>
                </a:pathLst>
              </a:custGeom>
              <a:solidFill>
                <a:srgbClr val="F470BB"/>
              </a:solidFill>
            </xdr:spPr>
            <xdr:txBody>
              <a:bodyPr wrap="square" lIns="0" tIns="0" rIns="0" bIns="0" rtlCol="0"/>
              <a:lstStyle>
                <a:defPPr>
                  <a:defRPr lang="nl-NL"/>
                </a:defPPr>
                <a:lvl1pPr marL="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9pPr>
              </a:lstStyle>
              <a:p>
                <a:pPr defTabSz="857250"/>
                <a:endParaRPr sz="1688">
                  <a:solidFill>
                    <a:prstClr val="black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0" name="object 38">
                <a:extLst>
                  <a:ext uri="{FF2B5EF4-FFF2-40B4-BE49-F238E27FC236}">
                    <a16:creationId xmlns:a16="http://schemas.microsoft.com/office/drawing/2014/main" id="{00000000-0008-0000-0000-000014000000}"/>
                  </a:ext>
                </a:extLst>
              </xdr:cNvPr>
              <xdr:cNvSpPr/>
            </xdr:nvSpPr>
            <xdr:spPr>
              <a:xfrm>
                <a:off x="9421388" y="2993278"/>
                <a:ext cx="154781" cy="313730"/>
              </a:xfrm>
              <a:custGeom>
                <a:avLst/>
                <a:gdLst/>
                <a:ahLst/>
                <a:cxnLst/>
                <a:rect l="l" t="t" r="r" b="b"/>
                <a:pathLst>
                  <a:path w="165100" h="334645">
                    <a:moveTo>
                      <a:pt x="134016" y="78681"/>
                    </a:moveTo>
                    <a:lnTo>
                      <a:pt x="54113" y="78681"/>
                    </a:lnTo>
                    <a:lnTo>
                      <a:pt x="90484" y="0"/>
                    </a:lnTo>
                    <a:lnTo>
                      <a:pt x="125902" y="10992"/>
                    </a:lnTo>
                    <a:lnTo>
                      <a:pt x="134016" y="78681"/>
                    </a:lnTo>
                    <a:close/>
                  </a:path>
                  <a:path w="165100" h="334645">
                    <a:moveTo>
                      <a:pt x="164657" y="334311"/>
                    </a:moveTo>
                    <a:lnTo>
                      <a:pt x="2231" y="190550"/>
                    </a:lnTo>
                    <a:lnTo>
                      <a:pt x="0" y="31402"/>
                    </a:lnTo>
                    <a:lnTo>
                      <a:pt x="54113" y="78681"/>
                    </a:lnTo>
                    <a:lnTo>
                      <a:pt x="134016" y="78681"/>
                    </a:lnTo>
                    <a:lnTo>
                      <a:pt x="164657" y="334311"/>
                    </a:lnTo>
                    <a:close/>
                  </a:path>
                </a:pathLst>
              </a:custGeom>
              <a:solidFill>
                <a:srgbClr val="12223D"/>
              </a:solidFill>
            </xdr:spPr>
            <xdr:txBody>
              <a:bodyPr wrap="square" lIns="0" tIns="0" rIns="0" bIns="0" rtlCol="0"/>
              <a:lstStyle>
                <a:defPPr>
                  <a:defRPr lang="nl-NL"/>
                </a:defPPr>
                <a:lvl1pPr marL="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9pPr>
              </a:lstStyle>
              <a:p>
                <a:pPr defTabSz="857250"/>
                <a:endParaRPr sz="1688">
                  <a:solidFill>
                    <a:prstClr val="black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1" name="object 39">
                <a:extLs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/>
            </xdr:nvSpPr>
            <xdr:spPr>
              <a:xfrm>
                <a:off x="9147364" y="2517825"/>
                <a:ext cx="526852" cy="519708"/>
              </a:xfrm>
              <a:custGeom>
                <a:avLst/>
                <a:gdLst/>
                <a:ahLst/>
                <a:cxnLst/>
                <a:rect l="l" t="t" r="r" b="b"/>
                <a:pathLst>
                  <a:path w="561975" h="554355">
                    <a:moveTo>
                      <a:pt x="327626" y="62302"/>
                    </a:moveTo>
                    <a:lnTo>
                      <a:pt x="234234" y="62302"/>
                    </a:lnTo>
                    <a:lnTo>
                      <a:pt x="280929" y="0"/>
                    </a:lnTo>
                    <a:lnTo>
                      <a:pt x="327626" y="62302"/>
                    </a:lnTo>
                    <a:close/>
                  </a:path>
                  <a:path w="561975" h="554355">
                    <a:moveTo>
                      <a:pt x="199505" y="99989"/>
                    </a:moveTo>
                    <a:lnTo>
                      <a:pt x="148926" y="99989"/>
                    </a:lnTo>
                    <a:lnTo>
                      <a:pt x="166033" y="24229"/>
                    </a:lnTo>
                    <a:lnTo>
                      <a:pt x="234234" y="62302"/>
                    </a:lnTo>
                    <a:lnTo>
                      <a:pt x="404425" y="62302"/>
                    </a:lnTo>
                    <a:lnTo>
                      <a:pt x="408967" y="82415"/>
                    </a:lnTo>
                    <a:lnTo>
                      <a:pt x="280402" y="82415"/>
                    </a:lnTo>
                    <a:lnTo>
                      <a:pt x="233999" y="87734"/>
                    </a:lnTo>
                    <a:lnTo>
                      <a:pt x="199505" y="99989"/>
                    </a:lnTo>
                    <a:close/>
                  </a:path>
                  <a:path w="561975" h="554355">
                    <a:moveTo>
                      <a:pt x="404425" y="62302"/>
                    </a:moveTo>
                    <a:lnTo>
                      <a:pt x="327626" y="62302"/>
                    </a:lnTo>
                    <a:lnTo>
                      <a:pt x="395827" y="24229"/>
                    </a:lnTo>
                    <a:lnTo>
                      <a:pt x="404425" y="62302"/>
                    </a:lnTo>
                    <a:close/>
                  </a:path>
                  <a:path w="561975" h="554355">
                    <a:moveTo>
                      <a:pt x="371979" y="484443"/>
                    </a:moveTo>
                    <a:lnTo>
                      <a:pt x="280402" y="484443"/>
                    </a:lnTo>
                    <a:lnTo>
                      <a:pt x="326807" y="479125"/>
                    </a:lnTo>
                    <a:lnTo>
                      <a:pt x="369436" y="463981"/>
                    </a:lnTo>
                    <a:lnTo>
                      <a:pt x="407062" y="440226"/>
                    </a:lnTo>
                    <a:lnTo>
                      <a:pt x="438460" y="409078"/>
                    </a:lnTo>
                    <a:lnTo>
                      <a:pt x="462404" y="371752"/>
                    </a:lnTo>
                    <a:lnTo>
                      <a:pt x="477669" y="329464"/>
                    </a:lnTo>
                    <a:lnTo>
                      <a:pt x="483030" y="283430"/>
                    </a:lnTo>
                    <a:lnTo>
                      <a:pt x="477669" y="237395"/>
                    </a:lnTo>
                    <a:lnTo>
                      <a:pt x="462403" y="195107"/>
                    </a:lnTo>
                    <a:lnTo>
                      <a:pt x="438459" y="157780"/>
                    </a:lnTo>
                    <a:lnTo>
                      <a:pt x="407060" y="126632"/>
                    </a:lnTo>
                    <a:lnTo>
                      <a:pt x="369435" y="102878"/>
                    </a:lnTo>
                    <a:lnTo>
                      <a:pt x="326807" y="87734"/>
                    </a:lnTo>
                    <a:lnTo>
                      <a:pt x="280402" y="82415"/>
                    </a:lnTo>
                    <a:lnTo>
                      <a:pt x="408967" y="82415"/>
                    </a:lnTo>
                    <a:lnTo>
                      <a:pt x="412936" y="99989"/>
                    </a:lnTo>
                    <a:lnTo>
                      <a:pt x="489380" y="99989"/>
                    </a:lnTo>
                    <a:lnTo>
                      <a:pt x="475424" y="168836"/>
                    </a:lnTo>
                    <a:lnTo>
                      <a:pt x="549584" y="193641"/>
                    </a:lnTo>
                    <a:lnTo>
                      <a:pt x="504288" y="256950"/>
                    </a:lnTo>
                    <a:lnTo>
                      <a:pt x="561863" y="309529"/>
                    </a:lnTo>
                    <a:lnTo>
                      <a:pt x="494528" y="349086"/>
                    </a:lnTo>
                    <a:lnTo>
                      <a:pt x="525573" y="420354"/>
                    </a:lnTo>
                    <a:lnTo>
                      <a:pt x="447835" y="429323"/>
                    </a:lnTo>
                    <a:lnTo>
                      <a:pt x="447232" y="483772"/>
                    </a:lnTo>
                    <a:lnTo>
                      <a:pt x="372289" y="483772"/>
                    </a:lnTo>
                    <a:lnTo>
                      <a:pt x="371979" y="484443"/>
                    </a:lnTo>
                    <a:close/>
                  </a:path>
                  <a:path w="561975" h="554355">
                    <a:moveTo>
                      <a:pt x="114892" y="506955"/>
                    </a:moveTo>
                    <a:lnTo>
                      <a:pt x="114031" y="429323"/>
                    </a:lnTo>
                    <a:lnTo>
                      <a:pt x="36293" y="420354"/>
                    </a:lnTo>
                    <a:lnTo>
                      <a:pt x="67338" y="349086"/>
                    </a:lnTo>
                    <a:lnTo>
                      <a:pt x="0" y="309529"/>
                    </a:lnTo>
                    <a:lnTo>
                      <a:pt x="57578" y="256950"/>
                    </a:lnTo>
                    <a:lnTo>
                      <a:pt x="12278" y="193639"/>
                    </a:lnTo>
                    <a:lnTo>
                      <a:pt x="86434" y="168834"/>
                    </a:lnTo>
                    <a:lnTo>
                      <a:pt x="71011" y="92721"/>
                    </a:lnTo>
                    <a:lnTo>
                      <a:pt x="148926" y="99989"/>
                    </a:lnTo>
                    <a:lnTo>
                      <a:pt x="199505" y="99989"/>
                    </a:lnTo>
                    <a:lnTo>
                      <a:pt x="191373" y="102878"/>
                    </a:lnTo>
                    <a:lnTo>
                      <a:pt x="153748" y="126632"/>
                    </a:lnTo>
                    <a:lnTo>
                      <a:pt x="122350" y="157780"/>
                    </a:lnTo>
                    <a:lnTo>
                      <a:pt x="98406" y="195107"/>
                    </a:lnTo>
                    <a:lnTo>
                      <a:pt x="83141" y="237395"/>
                    </a:lnTo>
                    <a:lnTo>
                      <a:pt x="77780" y="283430"/>
                    </a:lnTo>
                    <a:lnTo>
                      <a:pt x="83141" y="329464"/>
                    </a:lnTo>
                    <a:lnTo>
                      <a:pt x="98406" y="371752"/>
                    </a:lnTo>
                    <a:lnTo>
                      <a:pt x="122350" y="409078"/>
                    </a:lnTo>
                    <a:lnTo>
                      <a:pt x="153748" y="440226"/>
                    </a:lnTo>
                    <a:lnTo>
                      <a:pt x="191373" y="463981"/>
                    </a:lnTo>
                    <a:lnTo>
                      <a:pt x="233999" y="479125"/>
                    </a:lnTo>
                    <a:lnTo>
                      <a:pt x="274550" y="483772"/>
                    </a:lnTo>
                    <a:lnTo>
                      <a:pt x="189579" y="483772"/>
                    </a:lnTo>
                    <a:lnTo>
                      <a:pt x="114892" y="506955"/>
                    </a:lnTo>
                    <a:close/>
                  </a:path>
                  <a:path w="561975" h="554355">
                    <a:moveTo>
                      <a:pt x="489380" y="99989"/>
                    </a:moveTo>
                    <a:lnTo>
                      <a:pt x="412936" y="99989"/>
                    </a:lnTo>
                    <a:lnTo>
                      <a:pt x="490853" y="92721"/>
                    </a:lnTo>
                    <a:lnTo>
                      <a:pt x="489380" y="99989"/>
                    </a:lnTo>
                    <a:close/>
                  </a:path>
                  <a:path w="561975" h="554355">
                    <a:moveTo>
                      <a:pt x="222203" y="554351"/>
                    </a:moveTo>
                    <a:lnTo>
                      <a:pt x="189579" y="483772"/>
                    </a:lnTo>
                    <a:lnTo>
                      <a:pt x="274550" y="483772"/>
                    </a:lnTo>
                    <a:lnTo>
                      <a:pt x="280402" y="484443"/>
                    </a:lnTo>
                    <a:lnTo>
                      <a:pt x="371979" y="484443"/>
                    </a:lnTo>
                    <a:lnTo>
                      <a:pt x="363383" y="503038"/>
                    </a:lnTo>
                    <a:lnTo>
                      <a:pt x="280931" y="503038"/>
                    </a:lnTo>
                    <a:lnTo>
                      <a:pt x="222203" y="554351"/>
                    </a:lnTo>
                    <a:close/>
                  </a:path>
                  <a:path w="561975" h="554355">
                    <a:moveTo>
                      <a:pt x="446976" y="506955"/>
                    </a:moveTo>
                    <a:lnTo>
                      <a:pt x="372289" y="483772"/>
                    </a:lnTo>
                    <a:lnTo>
                      <a:pt x="447232" y="483772"/>
                    </a:lnTo>
                    <a:lnTo>
                      <a:pt x="446976" y="506955"/>
                    </a:lnTo>
                    <a:close/>
                  </a:path>
                  <a:path w="561975" h="554355">
                    <a:moveTo>
                      <a:pt x="339661" y="554351"/>
                    </a:moveTo>
                    <a:lnTo>
                      <a:pt x="280931" y="503038"/>
                    </a:lnTo>
                    <a:lnTo>
                      <a:pt x="363383" y="503038"/>
                    </a:lnTo>
                    <a:lnTo>
                      <a:pt x="339661" y="554351"/>
                    </a:lnTo>
                    <a:close/>
                  </a:path>
                </a:pathLst>
              </a:custGeom>
              <a:solidFill>
                <a:srgbClr val="FFFFFF"/>
              </a:solidFill>
            </xdr:spPr>
            <xdr:txBody>
              <a:bodyPr wrap="square" lIns="0" tIns="0" rIns="0" bIns="0" rtlCol="0"/>
              <a:lstStyle>
                <a:defPPr>
                  <a:defRPr lang="nl-NL"/>
                </a:defPPr>
                <a:lvl1pPr marL="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9pPr>
              </a:lstStyle>
              <a:p>
                <a:pPr defTabSz="857250"/>
                <a:endParaRPr sz="1688">
                  <a:solidFill>
                    <a:prstClr val="black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2" name="object 40">
                <a:extLs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>
              <a:xfrm>
                <a:off x="9238430" y="2613091"/>
                <a:ext cx="344091" cy="341114"/>
              </a:xfrm>
              <a:custGeom>
                <a:avLst/>
                <a:gdLst/>
                <a:ahLst/>
                <a:cxnLst/>
                <a:rect l="l" t="t" r="r" b="b"/>
                <a:pathLst>
                  <a:path w="367029" h="363855">
                    <a:moveTo>
                      <a:pt x="183265" y="363621"/>
                    </a:moveTo>
                    <a:lnTo>
                      <a:pt x="134602" y="357116"/>
                    </a:lnTo>
                    <a:lnTo>
                      <a:pt x="90839" y="338763"/>
                    </a:lnTo>
                    <a:lnTo>
                      <a:pt x="53737" y="310310"/>
                    </a:lnTo>
                    <a:lnTo>
                      <a:pt x="25056" y="273503"/>
                    </a:lnTo>
                    <a:lnTo>
                      <a:pt x="6557" y="230088"/>
                    </a:lnTo>
                    <a:lnTo>
                      <a:pt x="0" y="181811"/>
                    </a:lnTo>
                    <a:lnTo>
                      <a:pt x="6557" y="133534"/>
                    </a:lnTo>
                    <a:lnTo>
                      <a:pt x="25057" y="90119"/>
                    </a:lnTo>
                    <a:lnTo>
                      <a:pt x="53738" y="53311"/>
                    </a:lnTo>
                    <a:lnTo>
                      <a:pt x="90840" y="24858"/>
                    </a:lnTo>
                    <a:lnTo>
                      <a:pt x="134602" y="6505"/>
                    </a:lnTo>
                    <a:lnTo>
                      <a:pt x="183265" y="0"/>
                    </a:lnTo>
                    <a:lnTo>
                      <a:pt x="231929" y="6505"/>
                    </a:lnTo>
                    <a:lnTo>
                      <a:pt x="249588" y="13910"/>
                    </a:lnTo>
                    <a:lnTo>
                      <a:pt x="183265" y="13910"/>
                    </a:lnTo>
                    <a:lnTo>
                      <a:pt x="138325" y="19918"/>
                    </a:lnTo>
                    <a:lnTo>
                      <a:pt x="97911" y="36867"/>
                    </a:lnTo>
                    <a:lnTo>
                      <a:pt x="63648" y="63143"/>
                    </a:lnTo>
                    <a:lnTo>
                      <a:pt x="37161" y="97135"/>
                    </a:lnTo>
                    <a:lnTo>
                      <a:pt x="20077" y="137229"/>
                    </a:lnTo>
                    <a:lnTo>
                      <a:pt x="14022" y="181813"/>
                    </a:lnTo>
                    <a:lnTo>
                      <a:pt x="20077" y="226396"/>
                    </a:lnTo>
                    <a:lnTo>
                      <a:pt x="37161" y="266489"/>
                    </a:lnTo>
                    <a:lnTo>
                      <a:pt x="63648" y="300480"/>
                    </a:lnTo>
                    <a:lnTo>
                      <a:pt x="97911" y="326756"/>
                    </a:lnTo>
                    <a:lnTo>
                      <a:pt x="138325" y="343705"/>
                    </a:lnTo>
                    <a:lnTo>
                      <a:pt x="183265" y="349713"/>
                    </a:lnTo>
                    <a:lnTo>
                      <a:pt x="249584" y="349713"/>
                    </a:lnTo>
                    <a:lnTo>
                      <a:pt x="231929" y="357116"/>
                    </a:lnTo>
                    <a:lnTo>
                      <a:pt x="183265" y="363621"/>
                    </a:lnTo>
                    <a:close/>
                  </a:path>
                  <a:path w="367029" h="363855">
                    <a:moveTo>
                      <a:pt x="249584" y="349713"/>
                    </a:moveTo>
                    <a:lnTo>
                      <a:pt x="183265" y="349713"/>
                    </a:lnTo>
                    <a:lnTo>
                      <a:pt x="228206" y="343704"/>
                    </a:lnTo>
                    <a:lnTo>
                      <a:pt x="268622" y="326756"/>
                    </a:lnTo>
                    <a:lnTo>
                      <a:pt x="302886" y="300479"/>
                    </a:lnTo>
                    <a:lnTo>
                      <a:pt x="329374" y="266488"/>
                    </a:lnTo>
                    <a:lnTo>
                      <a:pt x="346458" y="226395"/>
                    </a:lnTo>
                    <a:lnTo>
                      <a:pt x="352513" y="181811"/>
                    </a:lnTo>
                    <a:lnTo>
                      <a:pt x="346457" y="137229"/>
                    </a:lnTo>
                    <a:lnTo>
                      <a:pt x="329373" y="97135"/>
                    </a:lnTo>
                    <a:lnTo>
                      <a:pt x="302886" y="63143"/>
                    </a:lnTo>
                    <a:lnTo>
                      <a:pt x="268622" y="36867"/>
                    </a:lnTo>
                    <a:lnTo>
                      <a:pt x="228207" y="19918"/>
                    </a:lnTo>
                    <a:lnTo>
                      <a:pt x="183265" y="13910"/>
                    </a:lnTo>
                    <a:lnTo>
                      <a:pt x="249588" y="13910"/>
                    </a:lnTo>
                    <a:lnTo>
                      <a:pt x="312797" y="53311"/>
                    </a:lnTo>
                    <a:lnTo>
                      <a:pt x="341479" y="90119"/>
                    </a:lnTo>
                    <a:lnTo>
                      <a:pt x="359979" y="133534"/>
                    </a:lnTo>
                    <a:lnTo>
                      <a:pt x="366537" y="181813"/>
                    </a:lnTo>
                    <a:lnTo>
                      <a:pt x="359979" y="230088"/>
                    </a:lnTo>
                    <a:lnTo>
                      <a:pt x="341479" y="273503"/>
                    </a:lnTo>
                    <a:lnTo>
                      <a:pt x="312797" y="310311"/>
                    </a:lnTo>
                    <a:lnTo>
                      <a:pt x="275694" y="338763"/>
                    </a:lnTo>
                    <a:lnTo>
                      <a:pt x="249584" y="349713"/>
                    </a:lnTo>
                    <a:close/>
                  </a:path>
                </a:pathLst>
              </a:custGeom>
              <a:solidFill>
                <a:srgbClr val="FFFFFF"/>
              </a:solidFill>
            </xdr:spPr>
            <xdr:txBody>
              <a:bodyPr wrap="square" lIns="0" tIns="0" rIns="0" bIns="0" rtlCol="0"/>
              <a:lstStyle>
                <a:defPPr>
                  <a:defRPr lang="nl-NL"/>
                </a:defPPr>
                <a:lvl1pPr marL="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9pPr>
              </a:lstStyle>
              <a:p>
                <a:pPr defTabSz="857250"/>
                <a:endParaRPr sz="1688">
                  <a:solidFill>
                    <a:prstClr val="black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3" name="object 41">
                <a:extLs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/>
            </xdr:nvSpPr>
            <xdr:spPr>
              <a:xfrm>
                <a:off x="9269723" y="2644133"/>
                <a:ext cx="281583" cy="279202"/>
              </a:xfrm>
              <a:custGeom>
                <a:avLst/>
                <a:gdLst/>
                <a:ahLst/>
                <a:cxnLst/>
                <a:rect l="l" t="t" r="r" b="b"/>
                <a:pathLst>
                  <a:path w="300354" h="297814">
                    <a:moveTo>
                      <a:pt x="149886" y="297396"/>
                    </a:moveTo>
                    <a:lnTo>
                      <a:pt x="102561" y="289803"/>
                    </a:lnTo>
                    <a:lnTo>
                      <a:pt x="61422" y="268669"/>
                    </a:lnTo>
                    <a:lnTo>
                      <a:pt x="28957" y="236462"/>
                    </a:lnTo>
                    <a:lnTo>
                      <a:pt x="7653" y="195649"/>
                    </a:lnTo>
                    <a:lnTo>
                      <a:pt x="0" y="148700"/>
                    </a:lnTo>
                    <a:lnTo>
                      <a:pt x="7653" y="101750"/>
                    </a:lnTo>
                    <a:lnTo>
                      <a:pt x="28957" y="60936"/>
                    </a:lnTo>
                    <a:lnTo>
                      <a:pt x="61422" y="28728"/>
                    </a:lnTo>
                    <a:lnTo>
                      <a:pt x="102561" y="7593"/>
                    </a:lnTo>
                    <a:lnTo>
                      <a:pt x="149886" y="0"/>
                    </a:lnTo>
                    <a:lnTo>
                      <a:pt x="197213" y="7593"/>
                    </a:lnTo>
                    <a:lnTo>
                      <a:pt x="238354" y="28728"/>
                    </a:lnTo>
                    <a:lnTo>
                      <a:pt x="270821" y="60936"/>
                    </a:lnTo>
                    <a:lnTo>
                      <a:pt x="292125" y="101750"/>
                    </a:lnTo>
                    <a:lnTo>
                      <a:pt x="299779" y="148700"/>
                    </a:lnTo>
                    <a:lnTo>
                      <a:pt x="292125" y="195649"/>
                    </a:lnTo>
                    <a:lnTo>
                      <a:pt x="270821" y="236462"/>
                    </a:lnTo>
                    <a:lnTo>
                      <a:pt x="238354" y="268669"/>
                    </a:lnTo>
                    <a:lnTo>
                      <a:pt x="197213" y="289803"/>
                    </a:lnTo>
                    <a:lnTo>
                      <a:pt x="149886" y="297396"/>
                    </a:lnTo>
                    <a:close/>
                  </a:path>
                </a:pathLst>
              </a:custGeom>
              <a:solidFill>
                <a:srgbClr val="FFFFFF"/>
              </a:solidFill>
            </xdr:spPr>
            <xdr:txBody>
              <a:bodyPr wrap="square" lIns="0" tIns="0" rIns="0" bIns="0" rtlCol="0"/>
              <a:lstStyle>
                <a:defPPr>
                  <a:defRPr lang="nl-NL"/>
                </a:defPPr>
                <a:lvl1pPr marL="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9pPr>
              </a:lstStyle>
              <a:p>
                <a:pPr defTabSz="857250"/>
                <a:endParaRPr sz="1688">
                  <a:solidFill>
                    <a:prstClr val="black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4" name="object 42">
                <a:extLs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SpPr/>
            </xdr:nvSpPr>
            <xdr:spPr>
              <a:xfrm>
                <a:off x="9117116" y="2487656"/>
                <a:ext cx="587573" cy="866180"/>
              </a:xfrm>
              <a:custGeom>
                <a:avLst/>
                <a:gdLst/>
                <a:ahLst/>
                <a:cxnLst/>
                <a:rect l="l" t="t" r="r" b="b"/>
                <a:pathLst>
                  <a:path w="626745" h="923925">
                    <a:moveTo>
                      <a:pt x="285256" y="69455"/>
                    </a:moveTo>
                    <a:lnTo>
                      <a:pt x="261139" y="69455"/>
                    </a:lnTo>
                    <a:lnTo>
                      <a:pt x="313196" y="0"/>
                    </a:lnTo>
                    <a:lnTo>
                      <a:pt x="337314" y="32178"/>
                    </a:lnTo>
                    <a:lnTo>
                      <a:pt x="313194" y="32178"/>
                    </a:lnTo>
                    <a:lnTo>
                      <a:pt x="285256" y="69455"/>
                    </a:lnTo>
                    <a:close/>
                  </a:path>
                  <a:path w="626745" h="923925">
                    <a:moveTo>
                      <a:pt x="185864" y="111467"/>
                    </a:moveTo>
                    <a:lnTo>
                      <a:pt x="166029" y="111467"/>
                    </a:lnTo>
                    <a:lnTo>
                      <a:pt x="185101" y="27006"/>
                    </a:lnTo>
                    <a:lnTo>
                      <a:pt x="237767" y="56407"/>
                    </a:lnTo>
                    <a:lnTo>
                      <a:pt x="198296" y="56407"/>
                    </a:lnTo>
                    <a:lnTo>
                      <a:pt x="185864" y="111467"/>
                    </a:lnTo>
                    <a:close/>
                  </a:path>
                  <a:path w="626745" h="923925">
                    <a:moveTo>
                      <a:pt x="404720" y="69455"/>
                    </a:moveTo>
                    <a:lnTo>
                      <a:pt x="365254" y="69455"/>
                    </a:lnTo>
                    <a:lnTo>
                      <a:pt x="441291" y="27006"/>
                    </a:lnTo>
                    <a:lnTo>
                      <a:pt x="447929" y="56407"/>
                    </a:lnTo>
                    <a:lnTo>
                      <a:pt x="428092" y="56407"/>
                    </a:lnTo>
                    <a:lnTo>
                      <a:pt x="404720" y="69455"/>
                    </a:lnTo>
                    <a:close/>
                  </a:path>
                  <a:path w="626745" h="923925">
                    <a:moveTo>
                      <a:pt x="359891" y="94480"/>
                    </a:moveTo>
                    <a:lnTo>
                      <a:pt x="313194" y="32178"/>
                    </a:lnTo>
                    <a:lnTo>
                      <a:pt x="337314" y="32178"/>
                    </a:lnTo>
                    <a:lnTo>
                      <a:pt x="365254" y="69455"/>
                    </a:lnTo>
                    <a:lnTo>
                      <a:pt x="404720" y="69455"/>
                    </a:lnTo>
                    <a:lnTo>
                      <a:pt x="359891" y="94480"/>
                    </a:lnTo>
                    <a:close/>
                  </a:path>
                  <a:path w="626745" h="923925">
                    <a:moveTo>
                      <a:pt x="266499" y="94480"/>
                    </a:moveTo>
                    <a:lnTo>
                      <a:pt x="198296" y="56407"/>
                    </a:lnTo>
                    <a:lnTo>
                      <a:pt x="237767" y="56407"/>
                    </a:lnTo>
                    <a:lnTo>
                      <a:pt x="261139" y="69455"/>
                    </a:lnTo>
                    <a:lnTo>
                      <a:pt x="285256" y="69455"/>
                    </a:lnTo>
                    <a:lnTo>
                      <a:pt x="266499" y="94480"/>
                    </a:lnTo>
                    <a:close/>
                  </a:path>
                  <a:path w="626745" h="923925">
                    <a:moveTo>
                      <a:pt x="445201" y="132167"/>
                    </a:moveTo>
                    <a:lnTo>
                      <a:pt x="428092" y="56407"/>
                    </a:lnTo>
                    <a:lnTo>
                      <a:pt x="447929" y="56407"/>
                    </a:lnTo>
                    <a:lnTo>
                      <a:pt x="460361" y="111467"/>
                    </a:lnTo>
                    <a:lnTo>
                      <a:pt x="545580" y="111467"/>
                    </a:lnTo>
                    <a:lnTo>
                      <a:pt x="542858" y="124899"/>
                    </a:lnTo>
                    <a:lnTo>
                      <a:pt x="523118" y="124899"/>
                    </a:lnTo>
                    <a:lnTo>
                      <a:pt x="445201" y="132167"/>
                    </a:lnTo>
                    <a:close/>
                  </a:path>
                  <a:path w="626745" h="923925">
                    <a:moveTo>
                      <a:pt x="545580" y="111467"/>
                    </a:moveTo>
                    <a:lnTo>
                      <a:pt x="460361" y="111467"/>
                    </a:lnTo>
                    <a:lnTo>
                      <a:pt x="547222" y="103365"/>
                    </a:lnTo>
                    <a:lnTo>
                      <a:pt x="545580" y="111467"/>
                    </a:lnTo>
                    <a:close/>
                  </a:path>
                  <a:path w="626745" h="923925">
                    <a:moveTo>
                      <a:pt x="128087" y="565176"/>
                    </a:moveTo>
                    <a:lnTo>
                      <a:pt x="127130" y="478626"/>
                    </a:lnTo>
                    <a:lnTo>
                      <a:pt x="40464" y="468625"/>
                    </a:lnTo>
                    <a:lnTo>
                      <a:pt x="75074" y="389171"/>
                    </a:lnTo>
                    <a:lnTo>
                      <a:pt x="0" y="345073"/>
                    </a:lnTo>
                    <a:lnTo>
                      <a:pt x="64189" y="286453"/>
                    </a:lnTo>
                    <a:lnTo>
                      <a:pt x="13690" y="215876"/>
                    </a:lnTo>
                    <a:lnTo>
                      <a:pt x="96364" y="188222"/>
                    </a:lnTo>
                    <a:lnTo>
                      <a:pt x="79168" y="103366"/>
                    </a:lnTo>
                    <a:lnTo>
                      <a:pt x="166029" y="111467"/>
                    </a:lnTo>
                    <a:lnTo>
                      <a:pt x="185864" y="111467"/>
                    </a:lnTo>
                    <a:lnTo>
                      <a:pt x="182831" y="124899"/>
                    </a:lnTo>
                    <a:lnTo>
                      <a:pt x="103275" y="124899"/>
                    </a:lnTo>
                    <a:lnTo>
                      <a:pt x="118692" y="201014"/>
                    </a:lnTo>
                    <a:lnTo>
                      <a:pt x="44541" y="225818"/>
                    </a:lnTo>
                    <a:lnTo>
                      <a:pt x="89841" y="289129"/>
                    </a:lnTo>
                    <a:lnTo>
                      <a:pt x="32263" y="341708"/>
                    </a:lnTo>
                    <a:lnTo>
                      <a:pt x="99601" y="381265"/>
                    </a:lnTo>
                    <a:lnTo>
                      <a:pt x="68556" y="452532"/>
                    </a:lnTo>
                    <a:lnTo>
                      <a:pt x="146295" y="461502"/>
                    </a:lnTo>
                    <a:lnTo>
                      <a:pt x="147155" y="539136"/>
                    </a:lnTo>
                    <a:lnTo>
                      <a:pt x="232559" y="539136"/>
                    </a:lnTo>
                    <a:lnTo>
                      <a:pt x="232649" y="539330"/>
                    </a:lnTo>
                    <a:lnTo>
                      <a:pt x="211353" y="539330"/>
                    </a:lnTo>
                    <a:lnTo>
                      <a:pt x="182596" y="548257"/>
                    </a:lnTo>
                    <a:lnTo>
                      <a:pt x="181892" y="554517"/>
                    </a:lnTo>
                    <a:lnTo>
                      <a:pt x="162418" y="554517"/>
                    </a:lnTo>
                    <a:lnTo>
                      <a:pt x="128087" y="565176"/>
                    </a:lnTo>
                    <a:close/>
                  </a:path>
                  <a:path w="626745" h="923925">
                    <a:moveTo>
                      <a:pt x="181190" y="132167"/>
                    </a:moveTo>
                    <a:lnTo>
                      <a:pt x="103275" y="124899"/>
                    </a:lnTo>
                    <a:lnTo>
                      <a:pt x="182831" y="124899"/>
                    </a:lnTo>
                    <a:lnTo>
                      <a:pt x="181190" y="132167"/>
                    </a:lnTo>
                    <a:close/>
                  </a:path>
                  <a:path w="626745" h="923925">
                    <a:moveTo>
                      <a:pt x="498595" y="539136"/>
                    </a:moveTo>
                    <a:lnTo>
                      <a:pt x="479237" y="539136"/>
                    </a:lnTo>
                    <a:lnTo>
                      <a:pt x="480100" y="461502"/>
                    </a:lnTo>
                    <a:lnTo>
                      <a:pt x="557836" y="452532"/>
                    </a:lnTo>
                    <a:lnTo>
                      <a:pt x="526793" y="381265"/>
                    </a:lnTo>
                    <a:lnTo>
                      <a:pt x="594128" y="341708"/>
                    </a:lnTo>
                    <a:lnTo>
                      <a:pt x="536553" y="289129"/>
                    </a:lnTo>
                    <a:lnTo>
                      <a:pt x="581849" y="225820"/>
                    </a:lnTo>
                    <a:lnTo>
                      <a:pt x="507690" y="201012"/>
                    </a:lnTo>
                    <a:lnTo>
                      <a:pt x="523118" y="124899"/>
                    </a:lnTo>
                    <a:lnTo>
                      <a:pt x="542858" y="124899"/>
                    </a:lnTo>
                    <a:lnTo>
                      <a:pt x="530032" y="188223"/>
                    </a:lnTo>
                    <a:lnTo>
                      <a:pt x="612704" y="215875"/>
                    </a:lnTo>
                    <a:lnTo>
                      <a:pt x="562208" y="286455"/>
                    </a:lnTo>
                    <a:lnTo>
                      <a:pt x="626398" y="345073"/>
                    </a:lnTo>
                    <a:lnTo>
                      <a:pt x="551322" y="389171"/>
                    </a:lnTo>
                    <a:lnTo>
                      <a:pt x="585932" y="468625"/>
                    </a:lnTo>
                    <a:lnTo>
                      <a:pt x="499268" y="478626"/>
                    </a:lnTo>
                    <a:lnTo>
                      <a:pt x="498595" y="539136"/>
                    </a:lnTo>
                    <a:close/>
                  </a:path>
                  <a:path w="626745" h="923925">
                    <a:moveTo>
                      <a:pt x="232559" y="539136"/>
                    </a:moveTo>
                    <a:lnTo>
                      <a:pt x="147155" y="539136"/>
                    </a:lnTo>
                    <a:lnTo>
                      <a:pt x="221842" y="515951"/>
                    </a:lnTo>
                    <a:lnTo>
                      <a:pt x="232559" y="539136"/>
                    </a:lnTo>
                    <a:close/>
                  </a:path>
                  <a:path w="626745" h="923925">
                    <a:moveTo>
                      <a:pt x="393225" y="586529"/>
                    </a:moveTo>
                    <a:lnTo>
                      <a:pt x="371926" y="586529"/>
                    </a:lnTo>
                    <a:lnTo>
                      <a:pt x="404552" y="515951"/>
                    </a:lnTo>
                    <a:lnTo>
                      <a:pt x="479237" y="539136"/>
                    </a:lnTo>
                    <a:lnTo>
                      <a:pt x="498595" y="539136"/>
                    </a:lnTo>
                    <a:lnTo>
                      <a:pt x="498593" y="539330"/>
                    </a:lnTo>
                    <a:lnTo>
                      <a:pt x="415044" y="539330"/>
                    </a:lnTo>
                    <a:lnTo>
                      <a:pt x="393225" y="586529"/>
                    </a:lnTo>
                    <a:close/>
                  </a:path>
                  <a:path w="626745" h="923925">
                    <a:moveTo>
                      <a:pt x="283756" y="586529"/>
                    </a:moveTo>
                    <a:lnTo>
                      <a:pt x="254467" y="586529"/>
                    </a:lnTo>
                    <a:lnTo>
                      <a:pt x="313194" y="535218"/>
                    </a:lnTo>
                    <a:lnTo>
                      <a:pt x="350525" y="567833"/>
                    </a:lnTo>
                    <a:lnTo>
                      <a:pt x="305155" y="567833"/>
                    </a:lnTo>
                    <a:lnTo>
                      <a:pt x="283756" y="586529"/>
                    </a:lnTo>
                    <a:close/>
                  </a:path>
                  <a:path w="626745" h="923925">
                    <a:moveTo>
                      <a:pt x="247724" y="618011"/>
                    </a:moveTo>
                    <a:lnTo>
                      <a:pt x="211353" y="539330"/>
                    </a:lnTo>
                    <a:lnTo>
                      <a:pt x="232649" y="539330"/>
                    </a:lnTo>
                    <a:lnTo>
                      <a:pt x="254467" y="586529"/>
                    </a:lnTo>
                    <a:lnTo>
                      <a:pt x="283756" y="586529"/>
                    </a:lnTo>
                    <a:lnTo>
                      <a:pt x="247724" y="618011"/>
                    </a:lnTo>
                    <a:close/>
                  </a:path>
                  <a:path w="626745" h="923925">
                    <a:moveTo>
                      <a:pt x="508702" y="873641"/>
                    </a:moveTo>
                    <a:lnTo>
                      <a:pt x="489214" y="873641"/>
                    </a:lnTo>
                    <a:lnTo>
                      <a:pt x="450461" y="550322"/>
                    </a:lnTo>
                    <a:lnTo>
                      <a:pt x="415044" y="539330"/>
                    </a:lnTo>
                    <a:lnTo>
                      <a:pt x="498593" y="539330"/>
                    </a:lnTo>
                    <a:lnTo>
                      <a:pt x="498401" y="556605"/>
                    </a:lnTo>
                    <a:lnTo>
                      <a:pt x="470704" y="556605"/>
                    </a:lnTo>
                    <a:lnTo>
                      <a:pt x="508702" y="873641"/>
                    </a:lnTo>
                    <a:close/>
                  </a:path>
                  <a:path w="626745" h="923925">
                    <a:moveTo>
                      <a:pt x="120908" y="923925"/>
                    </a:moveTo>
                    <a:lnTo>
                      <a:pt x="162418" y="554517"/>
                    </a:lnTo>
                    <a:lnTo>
                      <a:pt x="181892" y="554517"/>
                    </a:lnTo>
                    <a:lnTo>
                      <a:pt x="145795" y="875766"/>
                    </a:lnTo>
                    <a:lnTo>
                      <a:pt x="174681" y="875766"/>
                    </a:lnTo>
                    <a:lnTo>
                      <a:pt x="120908" y="923925"/>
                    </a:lnTo>
                    <a:close/>
                  </a:path>
                  <a:path w="626745" h="923925">
                    <a:moveTo>
                      <a:pt x="498305" y="565176"/>
                    </a:moveTo>
                    <a:lnTo>
                      <a:pt x="470704" y="556605"/>
                    </a:lnTo>
                    <a:lnTo>
                      <a:pt x="498401" y="556605"/>
                    </a:lnTo>
                    <a:lnTo>
                      <a:pt x="498305" y="565176"/>
                    </a:lnTo>
                    <a:close/>
                  </a:path>
                  <a:path w="626745" h="923925">
                    <a:moveTo>
                      <a:pt x="174681" y="875766"/>
                    </a:moveTo>
                    <a:lnTo>
                      <a:pt x="145795" y="875766"/>
                    </a:lnTo>
                    <a:lnTo>
                      <a:pt x="307444" y="730992"/>
                    </a:lnTo>
                    <a:lnTo>
                      <a:pt x="305155" y="567833"/>
                    </a:lnTo>
                    <a:lnTo>
                      <a:pt x="350525" y="567833"/>
                    </a:lnTo>
                    <a:lnTo>
                      <a:pt x="353844" y="570732"/>
                    </a:lnTo>
                    <a:lnTo>
                      <a:pt x="324560" y="570732"/>
                    </a:lnTo>
                    <a:lnTo>
                      <a:pt x="326790" y="729880"/>
                    </a:lnTo>
                    <a:lnTo>
                      <a:pt x="346836" y="747623"/>
                    </a:lnTo>
                    <a:lnTo>
                      <a:pt x="317762" y="747623"/>
                    </a:lnTo>
                    <a:lnTo>
                      <a:pt x="174681" y="875766"/>
                    </a:lnTo>
                    <a:close/>
                  </a:path>
                  <a:path w="626745" h="923925">
                    <a:moveTo>
                      <a:pt x="378672" y="618011"/>
                    </a:moveTo>
                    <a:lnTo>
                      <a:pt x="324560" y="570732"/>
                    </a:lnTo>
                    <a:lnTo>
                      <a:pt x="353844" y="570732"/>
                    </a:lnTo>
                    <a:lnTo>
                      <a:pt x="371926" y="586529"/>
                    </a:lnTo>
                    <a:lnTo>
                      <a:pt x="393225" y="586529"/>
                    </a:lnTo>
                    <a:lnTo>
                      <a:pt x="378672" y="618011"/>
                    </a:lnTo>
                    <a:close/>
                  </a:path>
                  <a:path w="626745" h="923925">
                    <a:moveTo>
                      <a:pt x="514466" y="921731"/>
                    </a:moveTo>
                    <a:lnTo>
                      <a:pt x="317762" y="747623"/>
                    </a:lnTo>
                    <a:lnTo>
                      <a:pt x="346836" y="747623"/>
                    </a:lnTo>
                    <a:lnTo>
                      <a:pt x="489214" y="873641"/>
                    </a:lnTo>
                    <a:lnTo>
                      <a:pt x="508702" y="873641"/>
                    </a:lnTo>
                    <a:lnTo>
                      <a:pt x="514466" y="921731"/>
                    </a:lnTo>
                    <a:close/>
                  </a:path>
                </a:pathLst>
              </a:custGeom>
              <a:solidFill>
                <a:srgbClr val="12223D"/>
              </a:solidFill>
            </xdr:spPr>
            <xdr:txBody>
              <a:bodyPr wrap="square" lIns="0" tIns="0" rIns="0" bIns="0" rtlCol="0"/>
              <a:lstStyle>
                <a:defPPr>
                  <a:defRPr lang="nl-NL"/>
                </a:defPPr>
                <a:lvl1pPr marL="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9pPr>
              </a:lstStyle>
              <a:p>
                <a:pPr defTabSz="857250"/>
                <a:endParaRPr sz="1688">
                  <a:solidFill>
                    <a:prstClr val="black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5" name="object 43">
                <a:extLs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SpPr/>
            </xdr:nvSpPr>
            <xdr:spPr>
              <a:xfrm>
                <a:off x="9220284" y="2595088"/>
                <a:ext cx="380405" cy="377428"/>
              </a:xfrm>
              <a:custGeom>
                <a:avLst/>
                <a:gdLst/>
                <a:ahLst/>
                <a:cxnLst/>
                <a:rect l="l" t="t" r="r" b="b"/>
                <a:pathLst>
                  <a:path w="405765" h="402589">
                    <a:moveTo>
                      <a:pt x="202621" y="402027"/>
                    </a:moveTo>
                    <a:lnTo>
                      <a:pt x="156218" y="396709"/>
                    </a:lnTo>
                    <a:lnTo>
                      <a:pt x="113592" y="381565"/>
                    </a:lnTo>
                    <a:lnTo>
                      <a:pt x="75967" y="357811"/>
                    </a:lnTo>
                    <a:lnTo>
                      <a:pt x="44570" y="326662"/>
                    </a:lnTo>
                    <a:lnTo>
                      <a:pt x="20626" y="289336"/>
                    </a:lnTo>
                    <a:lnTo>
                      <a:pt x="5360" y="247048"/>
                    </a:lnTo>
                    <a:lnTo>
                      <a:pt x="0" y="201014"/>
                    </a:lnTo>
                    <a:lnTo>
                      <a:pt x="5360" y="154979"/>
                    </a:lnTo>
                    <a:lnTo>
                      <a:pt x="20626" y="112691"/>
                    </a:lnTo>
                    <a:lnTo>
                      <a:pt x="44570" y="75364"/>
                    </a:lnTo>
                    <a:lnTo>
                      <a:pt x="75967" y="44216"/>
                    </a:lnTo>
                    <a:lnTo>
                      <a:pt x="113592" y="20462"/>
                    </a:lnTo>
                    <a:lnTo>
                      <a:pt x="156218" y="5318"/>
                    </a:lnTo>
                    <a:lnTo>
                      <a:pt x="202621" y="0"/>
                    </a:lnTo>
                    <a:lnTo>
                      <a:pt x="249026" y="5318"/>
                    </a:lnTo>
                    <a:lnTo>
                      <a:pt x="288109" y="19202"/>
                    </a:lnTo>
                    <a:lnTo>
                      <a:pt x="202621" y="19202"/>
                    </a:lnTo>
                    <a:lnTo>
                      <a:pt x="153958" y="25708"/>
                    </a:lnTo>
                    <a:lnTo>
                      <a:pt x="110196" y="44061"/>
                    </a:lnTo>
                    <a:lnTo>
                      <a:pt x="73094" y="72514"/>
                    </a:lnTo>
                    <a:lnTo>
                      <a:pt x="44413" y="109322"/>
                    </a:lnTo>
                    <a:lnTo>
                      <a:pt x="25914" y="152737"/>
                    </a:lnTo>
                    <a:lnTo>
                      <a:pt x="19356" y="201014"/>
                    </a:lnTo>
                    <a:lnTo>
                      <a:pt x="25914" y="249291"/>
                    </a:lnTo>
                    <a:lnTo>
                      <a:pt x="44414" y="292706"/>
                    </a:lnTo>
                    <a:lnTo>
                      <a:pt x="73095" y="329513"/>
                    </a:lnTo>
                    <a:lnTo>
                      <a:pt x="110197" y="357966"/>
                    </a:lnTo>
                    <a:lnTo>
                      <a:pt x="153959" y="376319"/>
                    </a:lnTo>
                    <a:lnTo>
                      <a:pt x="202621" y="382824"/>
                    </a:lnTo>
                    <a:lnTo>
                      <a:pt x="288108" y="382824"/>
                    </a:lnTo>
                    <a:lnTo>
                      <a:pt x="249026" y="396709"/>
                    </a:lnTo>
                    <a:lnTo>
                      <a:pt x="202621" y="402027"/>
                    </a:lnTo>
                    <a:close/>
                  </a:path>
                  <a:path w="405765" h="402589">
                    <a:moveTo>
                      <a:pt x="288108" y="382824"/>
                    </a:moveTo>
                    <a:lnTo>
                      <a:pt x="202621" y="382824"/>
                    </a:lnTo>
                    <a:lnTo>
                      <a:pt x="251286" y="376319"/>
                    </a:lnTo>
                    <a:lnTo>
                      <a:pt x="295050" y="357966"/>
                    </a:lnTo>
                    <a:lnTo>
                      <a:pt x="332154" y="329513"/>
                    </a:lnTo>
                    <a:lnTo>
                      <a:pt x="360836" y="292706"/>
                    </a:lnTo>
                    <a:lnTo>
                      <a:pt x="379336" y="249291"/>
                    </a:lnTo>
                    <a:lnTo>
                      <a:pt x="385894" y="201014"/>
                    </a:lnTo>
                    <a:lnTo>
                      <a:pt x="379336" y="152737"/>
                    </a:lnTo>
                    <a:lnTo>
                      <a:pt x="360836" y="109322"/>
                    </a:lnTo>
                    <a:lnTo>
                      <a:pt x="332154" y="72514"/>
                    </a:lnTo>
                    <a:lnTo>
                      <a:pt x="295050" y="44061"/>
                    </a:lnTo>
                    <a:lnTo>
                      <a:pt x="251286" y="25708"/>
                    </a:lnTo>
                    <a:lnTo>
                      <a:pt x="202621" y="19202"/>
                    </a:lnTo>
                    <a:lnTo>
                      <a:pt x="288109" y="19202"/>
                    </a:lnTo>
                    <a:lnTo>
                      <a:pt x="329281" y="44216"/>
                    </a:lnTo>
                    <a:lnTo>
                      <a:pt x="360679" y="75364"/>
                    </a:lnTo>
                    <a:lnTo>
                      <a:pt x="384623" y="112691"/>
                    </a:lnTo>
                    <a:lnTo>
                      <a:pt x="399889" y="154979"/>
                    </a:lnTo>
                    <a:lnTo>
                      <a:pt x="405249" y="201014"/>
                    </a:lnTo>
                    <a:lnTo>
                      <a:pt x="399888" y="247048"/>
                    </a:lnTo>
                    <a:lnTo>
                      <a:pt x="384622" y="289336"/>
                    </a:lnTo>
                    <a:lnTo>
                      <a:pt x="360678" y="326662"/>
                    </a:lnTo>
                    <a:lnTo>
                      <a:pt x="329280" y="357811"/>
                    </a:lnTo>
                    <a:lnTo>
                      <a:pt x="291654" y="381565"/>
                    </a:lnTo>
                    <a:lnTo>
                      <a:pt x="288108" y="382824"/>
                    </a:lnTo>
                    <a:close/>
                  </a:path>
                </a:pathLst>
              </a:custGeom>
              <a:solidFill>
                <a:srgbClr val="12223D"/>
              </a:solidFill>
            </xdr:spPr>
            <xdr:txBody>
              <a:bodyPr wrap="square" lIns="0" tIns="0" rIns="0" bIns="0" rtlCol="0"/>
              <a:lstStyle>
                <a:defPPr>
                  <a:defRPr lang="nl-NL"/>
                </a:defPPr>
                <a:lvl1pPr marL="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9pPr>
              </a:lstStyle>
              <a:p>
                <a:pPr defTabSz="857250"/>
                <a:endParaRPr sz="1688">
                  <a:solidFill>
                    <a:prstClr val="black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26" name="object 44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SpPr/>
            </xdr:nvSpPr>
            <xdr:spPr>
              <a:xfrm>
                <a:off x="9251576" y="2626130"/>
                <a:ext cx="317897" cy="314920"/>
              </a:xfrm>
              <a:custGeom>
                <a:avLst/>
                <a:gdLst/>
                <a:ahLst/>
                <a:cxnLst/>
                <a:rect l="l" t="t" r="r" b="b"/>
                <a:pathLst>
                  <a:path w="339090" h="335914">
                    <a:moveTo>
                      <a:pt x="169242" y="335802"/>
                    </a:moveTo>
                    <a:lnTo>
                      <a:pt x="124303" y="329794"/>
                    </a:lnTo>
                    <a:lnTo>
                      <a:pt x="83889" y="312846"/>
                    </a:lnTo>
                    <a:lnTo>
                      <a:pt x="49626" y="286569"/>
                    </a:lnTo>
                    <a:lnTo>
                      <a:pt x="23139" y="252578"/>
                    </a:lnTo>
                    <a:lnTo>
                      <a:pt x="6055" y="212485"/>
                    </a:lnTo>
                    <a:lnTo>
                      <a:pt x="0" y="167903"/>
                    </a:lnTo>
                    <a:lnTo>
                      <a:pt x="6056" y="123318"/>
                    </a:lnTo>
                    <a:lnTo>
                      <a:pt x="23140" y="83224"/>
                    </a:lnTo>
                    <a:lnTo>
                      <a:pt x="49626" y="49232"/>
                    </a:lnTo>
                    <a:lnTo>
                      <a:pt x="83889" y="22956"/>
                    </a:lnTo>
                    <a:lnTo>
                      <a:pt x="124303" y="6007"/>
                    </a:lnTo>
                    <a:lnTo>
                      <a:pt x="169242" y="0"/>
                    </a:lnTo>
                    <a:lnTo>
                      <a:pt x="214184" y="6007"/>
                    </a:lnTo>
                    <a:lnTo>
                      <a:pt x="245649" y="19202"/>
                    </a:lnTo>
                    <a:lnTo>
                      <a:pt x="169242" y="19202"/>
                    </a:lnTo>
                    <a:lnTo>
                      <a:pt x="121917" y="26796"/>
                    </a:lnTo>
                    <a:lnTo>
                      <a:pt x="80778" y="47931"/>
                    </a:lnTo>
                    <a:lnTo>
                      <a:pt x="48313" y="80139"/>
                    </a:lnTo>
                    <a:lnTo>
                      <a:pt x="27010" y="120952"/>
                    </a:lnTo>
                    <a:lnTo>
                      <a:pt x="19356" y="167903"/>
                    </a:lnTo>
                    <a:lnTo>
                      <a:pt x="27010" y="214852"/>
                    </a:lnTo>
                    <a:lnTo>
                      <a:pt x="48314" y="255665"/>
                    </a:lnTo>
                    <a:lnTo>
                      <a:pt x="80779" y="287872"/>
                    </a:lnTo>
                    <a:lnTo>
                      <a:pt x="121917" y="309006"/>
                    </a:lnTo>
                    <a:lnTo>
                      <a:pt x="169242" y="316599"/>
                    </a:lnTo>
                    <a:lnTo>
                      <a:pt x="245650" y="316599"/>
                    </a:lnTo>
                    <a:lnTo>
                      <a:pt x="214185" y="329794"/>
                    </a:lnTo>
                    <a:lnTo>
                      <a:pt x="169242" y="335802"/>
                    </a:lnTo>
                    <a:close/>
                  </a:path>
                  <a:path w="339090" h="335914">
                    <a:moveTo>
                      <a:pt x="245650" y="316599"/>
                    </a:moveTo>
                    <a:lnTo>
                      <a:pt x="169242" y="316599"/>
                    </a:lnTo>
                    <a:lnTo>
                      <a:pt x="216570" y="309006"/>
                    </a:lnTo>
                    <a:lnTo>
                      <a:pt x="257711" y="287872"/>
                    </a:lnTo>
                    <a:lnTo>
                      <a:pt x="290177" y="255665"/>
                    </a:lnTo>
                    <a:lnTo>
                      <a:pt x="311482" y="214852"/>
                    </a:lnTo>
                    <a:lnTo>
                      <a:pt x="319136" y="167903"/>
                    </a:lnTo>
                    <a:lnTo>
                      <a:pt x="311481" y="120952"/>
                    </a:lnTo>
                    <a:lnTo>
                      <a:pt x="290177" y="80138"/>
                    </a:lnTo>
                    <a:lnTo>
                      <a:pt x="257710" y="47930"/>
                    </a:lnTo>
                    <a:lnTo>
                      <a:pt x="216569" y="26796"/>
                    </a:lnTo>
                    <a:lnTo>
                      <a:pt x="169242" y="19202"/>
                    </a:lnTo>
                    <a:lnTo>
                      <a:pt x="245649" y="19202"/>
                    </a:lnTo>
                    <a:lnTo>
                      <a:pt x="288864" y="49232"/>
                    </a:lnTo>
                    <a:lnTo>
                      <a:pt x="315351" y="83224"/>
                    </a:lnTo>
                    <a:lnTo>
                      <a:pt x="332436" y="123318"/>
                    </a:lnTo>
                    <a:lnTo>
                      <a:pt x="338491" y="167903"/>
                    </a:lnTo>
                    <a:lnTo>
                      <a:pt x="332435" y="212485"/>
                    </a:lnTo>
                    <a:lnTo>
                      <a:pt x="315351" y="252578"/>
                    </a:lnTo>
                    <a:lnTo>
                      <a:pt x="288864" y="286569"/>
                    </a:lnTo>
                    <a:lnTo>
                      <a:pt x="254600" y="312846"/>
                    </a:lnTo>
                    <a:lnTo>
                      <a:pt x="245650" y="316599"/>
                    </a:lnTo>
                    <a:close/>
                  </a:path>
                </a:pathLst>
              </a:custGeom>
              <a:solidFill>
                <a:srgbClr val="12223D"/>
              </a:solidFill>
            </xdr:spPr>
            <xdr:txBody>
              <a:bodyPr wrap="square" lIns="0" tIns="0" rIns="0" bIns="0" rtlCol="0"/>
              <a:lstStyle>
                <a:defPPr>
                  <a:defRPr lang="nl-NL"/>
                </a:defPPr>
                <a:lvl1pPr marL="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ysClr val="windowText" lastClr="000000"/>
                    </a:solidFill>
                    <a:latin typeface="Gotham Light"/>
                  </a:defRPr>
                </a:lvl9pPr>
              </a:lstStyle>
              <a:p>
                <a:pPr defTabSz="857250"/>
                <a:endParaRPr sz="1688">
                  <a:solidFill>
                    <a:prstClr val="black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</xdr:grpSp>
      <xdr:sp macro="" textlink="">
        <xdr:nvSpPr>
          <xdr:cNvPr id="9" name="11 Más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4982046" y="1508485"/>
            <a:ext cx="670266" cy="670266"/>
          </a:xfrm>
          <a:prstGeom prst="mathPlus">
            <a:avLst>
              <a:gd name="adj1" fmla="val 17423"/>
            </a:avLst>
          </a:prstGeom>
          <a:solidFill>
            <a:sysClr val="window" lastClr="FFFFFF">
              <a:lumMod val="50000"/>
            </a:sysClr>
          </a:solidFill>
          <a:ln w="12700" cap="flat" cmpd="sng" algn="ctr">
            <a:noFill/>
            <a:prstDash val="solid"/>
            <a:miter lim="800000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9pPr>
          </a:lstStyle>
          <a:p>
            <a:pPr algn="ctr"/>
            <a:endParaRPr lang="es-AR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" name="Rounded Rectangular Callout 87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 flipV="1">
            <a:off x="5655918" y="3137955"/>
            <a:ext cx="4043798" cy="2139048"/>
          </a:xfrm>
          <a:custGeom>
            <a:avLst/>
            <a:gdLst>
              <a:gd name="connsiteX0" fmla="*/ 0 w 3726895"/>
              <a:gd name="connsiteY0" fmla="*/ 0 h 1579923"/>
              <a:gd name="connsiteX1" fmla="*/ 621149 w 3726895"/>
              <a:gd name="connsiteY1" fmla="*/ 0 h 1579923"/>
              <a:gd name="connsiteX2" fmla="*/ 621149 w 3726895"/>
              <a:gd name="connsiteY2" fmla="*/ 0 h 1579923"/>
              <a:gd name="connsiteX3" fmla="*/ 1552873 w 3726895"/>
              <a:gd name="connsiteY3" fmla="*/ 0 h 1579923"/>
              <a:gd name="connsiteX4" fmla="*/ 3726895 w 3726895"/>
              <a:gd name="connsiteY4" fmla="*/ 0 h 1579923"/>
              <a:gd name="connsiteX5" fmla="*/ 3726895 w 3726895"/>
              <a:gd name="connsiteY5" fmla="*/ 921622 h 1579923"/>
              <a:gd name="connsiteX6" fmla="*/ 3726895 w 3726895"/>
              <a:gd name="connsiteY6" fmla="*/ 921622 h 1579923"/>
              <a:gd name="connsiteX7" fmla="*/ 3726895 w 3726895"/>
              <a:gd name="connsiteY7" fmla="*/ 1316603 h 1579923"/>
              <a:gd name="connsiteX8" fmla="*/ 3726895 w 3726895"/>
              <a:gd name="connsiteY8" fmla="*/ 1579923 h 1579923"/>
              <a:gd name="connsiteX9" fmla="*/ 1552873 w 3726895"/>
              <a:gd name="connsiteY9" fmla="*/ 1579923 h 1579923"/>
              <a:gd name="connsiteX10" fmla="*/ 1087023 w 3726895"/>
              <a:gd name="connsiteY10" fmla="*/ 1777413 h 1579923"/>
              <a:gd name="connsiteX11" fmla="*/ 621149 w 3726895"/>
              <a:gd name="connsiteY11" fmla="*/ 1579923 h 1579923"/>
              <a:gd name="connsiteX12" fmla="*/ 0 w 3726895"/>
              <a:gd name="connsiteY12" fmla="*/ 1579923 h 1579923"/>
              <a:gd name="connsiteX13" fmla="*/ 0 w 3726895"/>
              <a:gd name="connsiteY13" fmla="*/ 1316603 h 1579923"/>
              <a:gd name="connsiteX14" fmla="*/ 0 w 3726895"/>
              <a:gd name="connsiteY14" fmla="*/ 921622 h 1579923"/>
              <a:gd name="connsiteX15" fmla="*/ 0 w 3726895"/>
              <a:gd name="connsiteY15" fmla="*/ 921622 h 1579923"/>
              <a:gd name="connsiteX16" fmla="*/ 0 w 3726895"/>
              <a:gd name="connsiteY16" fmla="*/ 0 h 1579923"/>
              <a:gd name="connsiteX0" fmla="*/ 0 w 3726895"/>
              <a:gd name="connsiteY0" fmla="*/ 0 h 1777413"/>
              <a:gd name="connsiteX1" fmla="*/ 621149 w 3726895"/>
              <a:gd name="connsiteY1" fmla="*/ 0 h 1777413"/>
              <a:gd name="connsiteX2" fmla="*/ 621149 w 3726895"/>
              <a:gd name="connsiteY2" fmla="*/ 0 h 1777413"/>
              <a:gd name="connsiteX3" fmla="*/ 1552873 w 3726895"/>
              <a:gd name="connsiteY3" fmla="*/ 0 h 1777413"/>
              <a:gd name="connsiteX4" fmla="*/ 3726895 w 3726895"/>
              <a:gd name="connsiteY4" fmla="*/ 0 h 1777413"/>
              <a:gd name="connsiteX5" fmla="*/ 3726895 w 3726895"/>
              <a:gd name="connsiteY5" fmla="*/ 921622 h 1777413"/>
              <a:gd name="connsiteX6" fmla="*/ 3726895 w 3726895"/>
              <a:gd name="connsiteY6" fmla="*/ 921622 h 1777413"/>
              <a:gd name="connsiteX7" fmla="*/ 3726895 w 3726895"/>
              <a:gd name="connsiteY7" fmla="*/ 1316603 h 1777413"/>
              <a:gd name="connsiteX8" fmla="*/ 3726895 w 3726895"/>
              <a:gd name="connsiteY8" fmla="*/ 1579923 h 1777413"/>
              <a:gd name="connsiteX9" fmla="*/ 1552873 w 3726895"/>
              <a:gd name="connsiteY9" fmla="*/ 1579923 h 1777413"/>
              <a:gd name="connsiteX10" fmla="*/ 1087023 w 3726895"/>
              <a:gd name="connsiteY10" fmla="*/ 1777413 h 1777413"/>
              <a:gd name="connsiteX11" fmla="*/ 425206 w 3726895"/>
              <a:gd name="connsiteY11" fmla="*/ 1579923 h 1777413"/>
              <a:gd name="connsiteX12" fmla="*/ 0 w 3726895"/>
              <a:gd name="connsiteY12" fmla="*/ 1579923 h 1777413"/>
              <a:gd name="connsiteX13" fmla="*/ 0 w 3726895"/>
              <a:gd name="connsiteY13" fmla="*/ 1316603 h 1777413"/>
              <a:gd name="connsiteX14" fmla="*/ 0 w 3726895"/>
              <a:gd name="connsiteY14" fmla="*/ 921622 h 1777413"/>
              <a:gd name="connsiteX15" fmla="*/ 0 w 3726895"/>
              <a:gd name="connsiteY15" fmla="*/ 921622 h 1777413"/>
              <a:gd name="connsiteX16" fmla="*/ 0 w 3726895"/>
              <a:gd name="connsiteY16" fmla="*/ 0 h 1777413"/>
              <a:gd name="connsiteX0" fmla="*/ 0 w 3726895"/>
              <a:gd name="connsiteY0" fmla="*/ 0 h 1777413"/>
              <a:gd name="connsiteX1" fmla="*/ 621149 w 3726895"/>
              <a:gd name="connsiteY1" fmla="*/ 0 h 1777413"/>
              <a:gd name="connsiteX2" fmla="*/ 621149 w 3726895"/>
              <a:gd name="connsiteY2" fmla="*/ 0 h 1777413"/>
              <a:gd name="connsiteX3" fmla="*/ 1552873 w 3726895"/>
              <a:gd name="connsiteY3" fmla="*/ 0 h 1777413"/>
              <a:gd name="connsiteX4" fmla="*/ 3726895 w 3726895"/>
              <a:gd name="connsiteY4" fmla="*/ 0 h 1777413"/>
              <a:gd name="connsiteX5" fmla="*/ 3726895 w 3726895"/>
              <a:gd name="connsiteY5" fmla="*/ 921622 h 1777413"/>
              <a:gd name="connsiteX6" fmla="*/ 3726895 w 3726895"/>
              <a:gd name="connsiteY6" fmla="*/ 921622 h 1777413"/>
              <a:gd name="connsiteX7" fmla="*/ 3726895 w 3726895"/>
              <a:gd name="connsiteY7" fmla="*/ 1316603 h 1777413"/>
              <a:gd name="connsiteX8" fmla="*/ 3726895 w 3726895"/>
              <a:gd name="connsiteY8" fmla="*/ 1579923 h 1777413"/>
              <a:gd name="connsiteX9" fmla="*/ 1085624 w 3726895"/>
              <a:gd name="connsiteY9" fmla="*/ 1579923 h 1777413"/>
              <a:gd name="connsiteX10" fmla="*/ 1087023 w 3726895"/>
              <a:gd name="connsiteY10" fmla="*/ 1777413 h 1777413"/>
              <a:gd name="connsiteX11" fmla="*/ 425206 w 3726895"/>
              <a:gd name="connsiteY11" fmla="*/ 1579923 h 1777413"/>
              <a:gd name="connsiteX12" fmla="*/ 0 w 3726895"/>
              <a:gd name="connsiteY12" fmla="*/ 1579923 h 1777413"/>
              <a:gd name="connsiteX13" fmla="*/ 0 w 3726895"/>
              <a:gd name="connsiteY13" fmla="*/ 1316603 h 1777413"/>
              <a:gd name="connsiteX14" fmla="*/ 0 w 3726895"/>
              <a:gd name="connsiteY14" fmla="*/ 921622 h 1777413"/>
              <a:gd name="connsiteX15" fmla="*/ 0 w 3726895"/>
              <a:gd name="connsiteY15" fmla="*/ 921622 h 1777413"/>
              <a:gd name="connsiteX16" fmla="*/ 0 w 3726895"/>
              <a:gd name="connsiteY16" fmla="*/ 0 h 1777413"/>
              <a:gd name="connsiteX0" fmla="*/ 0 w 3726895"/>
              <a:gd name="connsiteY0" fmla="*/ 0 h 1892970"/>
              <a:gd name="connsiteX1" fmla="*/ 621149 w 3726895"/>
              <a:gd name="connsiteY1" fmla="*/ 0 h 1892970"/>
              <a:gd name="connsiteX2" fmla="*/ 621149 w 3726895"/>
              <a:gd name="connsiteY2" fmla="*/ 0 h 1892970"/>
              <a:gd name="connsiteX3" fmla="*/ 1552873 w 3726895"/>
              <a:gd name="connsiteY3" fmla="*/ 0 h 1892970"/>
              <a:gd name="connsiteX4" fmla="*/ 3726895 w 3726895"/>
              <a:gd name="connsiteY4" fmla="*/ 0 h 1892970"/>
              <a:gd name="connsiteX5" fmla="*/ 3726895 w 3726895"/>
              <a:gd name="connsiteY5" fmla="*/ 921622 h 1892970"/>
              <a:gd name="connsiteX6" fmla="*/ 3726895 w 3726895"/>
              <a:gd name="connsiteY6" fmla="*/ 921622 h 1892970"/>
              <a:gd name="connsiteX7" fmla="*/ 3726895 w 3726895"/>
              <a:gd name="connsiteY7" fmla="*/ 1316603 h 1892970"/>
              <a:gd name="connsiteX8" fmla="*/ 3726895 w 3726895"/>
              <a:gd name="connsiteY8" fmla="*/ 1579923 h 1892970"/>
              <a:gd name="connsiteX9" fmla="*/ 1085624 w 3726895"/>
              <a:gd name="connsiteY9" fmla="*/ 1579923 h 1892970"/>
              <a:gd name="connsiteX10" fmla="*/ 1087023 w 3726895"/>
              <a:gd name="connsiteY10" fmla="*/ 1892970 h 1892970"/>
              <a:gd name="connsiteX11" fmla="*/ 425206 w 3726895"/>
              <a:gd name="connsiteY11" fmla="*/ 1579923 h 1892970"/>
              <a:gd name="connsiteX12" fmla="*/ 0 w 3726895"/>
              <a:gd name="connsiteY12" fmla="*/ 1579923 h 1892970"/>
              <a:gd name="connsiteX13" fmla="*/ 0 w 3726895"/>
              <a:gd name="connsiteY13" fmla="*/ 1316603 h 1892970"/>
              <a:gd name="connsiteX14" fmla="*/ 0 w 3726895"/>
              <a:gd name="connsiteY14" fmla="*/ 921622 h 1892970"/>
              <a:gd name="connsiteX15" fmla="*/ 0 w 3726895"/>
              <a:gd name="connsiteY15" fmla="*/ 921622 h 1892970"/>
              <a:gd name="connsiteX16" fmla="*/ 0 w 3726895"/>
              <a:gd name="connsiteY16" fmla="*/ 0 h 189297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</a:cxnLst>
            <a:rect l="l" t="t" r="r" b="b"/>
            <a:pathLst>
              <a:path w="3726895" h="1892970">
                <a:moveTo>
                  <a:pt x="0" y="0"/>
                </a:moveTo>
                <a:lnTo>
                  <a:pt x="621149" y="0"/>
                </a:lnTo>
                <a:lnTo>
                  <a:pt x="621149" y="0"/>
                </a:lnTo>
                <a:lnTo>
                  <a:pt x="1552873" y="0"/>
                </a:lnTo>
                <a:lnTo>
                  <a:pt x="3726895" y="0"/>
                </a:lnTo>
                <a:lnTo>
                  <a:pt x="3726895" y="921622"/>
                </a:lnTo>
                <a:lnTo>
                  <a:pt x="3726895" y="921622"/>
                </a:lnTo>
                <a:lnTo>
                  <a:pt x="3726895" y="1316603"/>
                </a:lnTo>
                <a:lnTo>
                  <a:pt x="3726895" y="1579923"/>
                </a:lnTo>
                <a:lnTo>
                  <a:pt x="1085624" y="1579923"/>
                </a:lnTo>
                <a:cubicBezTo>
                  <a:pt x="1086090" y="1645753"/>
                  <a:pt x="1086557" y="1827140"/>
                  <a:pt x="1087023" y="1892970"/>
                </a:cubicBezTo>
                <a:lnTo>
                  <a:pt x="425206" y="1579923"/>
                </a:lnTo>
                <a:lnTo>
                  <a:pt x="0" y="1579923"/>
                </a:lnTo>
                <a:lnTo>
                  <a:pt x="0" y="1316603"/>
                </a:lnTo>
                <a:lnTo>
                  <a:pt x="0" y="921622"/>
                </a:lnTo>
                <a:lnTo>
                  <a:pt x="0" y="921622"/>
                </a:lnTo>
                <a:lnTo>
                  <a:pt x="0" y="0"/>
                </a:lnTo>
                <a:close/>
              </a:path>
            </a:pathLst>
          </a:custGeom>
          <a:noFill/>
          <a:ln w="12700" cap="flat" cmpd="sng" algn="ctr">
            <a:solidFill>
              <a:srgbClr val="D4107E"/>
            </a:solidFill>
            <a:prstDash val="solid"/>
            <a:miter lim="800000"/>
          </a:ln>
          <a:effectLst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wrap="square" lIns="216000" tIns="0" rIns="216000" bIns="360000" rtlCol="0" anchor="ctr"/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9pPr>
          </a:lstStyle>
          <a:p>
            <a:endParaRPr lang="es-ES" sz="1400">
              <a:solidFill>
                <a:srgbClr val="D4107E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" name="Rounded Rectangular Callout 87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 flipH="1" flipV="1">
            <a:off x="958717" y="3137955"/>
            <a:ext cx="4043798" cy="2139048"/>
          </a:xfrm>
          <a:custGeom>
            <a:avLst/>
            <a:gdLst>
              <a:gd name="connsiteX0" fmla="*/ 0 w 3726895"/>
              <a:gd name="connsiteY0" fmla="*/ 0 h 1579923"/>
              <a:gd name="connsiteX1" fmla="*/ 621149 w 3726895"/>
              <a:gd name="connsiteY1" fmla="*/ 0 h 1579923"/>
              <a:gd name="connsiteX2" fmla="*/ 621149 w 3726895"/>
              <a:gd name="connsiteY2" fmla="*/ 0 h 1579923"/>
              <a:gd name="connsiteX3" fmla="*/ 1552873 w 3726895"/>
              <a:gd name="connsiteY3" fmla="*/ 0 h 1579923"/>
              <a:gd name="connsiteX4" fmla="*/ 3726895 w 3726895"/>
              <a:gd name="connsiteY4" fmla="*/ 0 h 1579923"/>
              <a:gd name="connsiteX5" fmla="*/ 3726895 w 3726895"/>
              <a:gd name="connsiteY5" fmla="*/ 921622 h 1579923"/>
              <a:gd name="connsiteX6" fmla="*/ 3726895 w 3726895"/>
              <a:gd name="connsiteY6" fmla="*/ 921622 h 1579923"/>
              <a:gd name="connsiteX7" fmla="*/ 3726895 w 3726895"/>
              <a:gd name="connsiteY7" fmla="*/ 1316603 h 1579923"/>
              <a:gd name="connsiteX8" fmla="*/ 3726895 w 3726895"/>
              <a:gd name="connsiteY8" fmla="*/ 1579923 h 1579923"/>
              <a:gd name="connsiteX9" fmla="*/ 1552873 w 3726895"/>
              <a:gd name="connsiteY9" fmla="*/ 1579923 h 1579923"/>
              <a:gd name="connsiteX10" fmla="*/ 1087023 w 3726895"/>
              <a:gd name="connsiteY10" fmla="*/ 1777413 h 1579923"/>
              <a:gd name="connsiteX11" fmla="*/ 621149 w 3726895"/>
              <a:gd name="connsiteY11" fmla="*/ 1579923 h 1579923"/>
              <a:gd name="connsiteX12" fmla="*/ 0 w 3726895"/>
              <a:gd name="connsiteY12" fmla="*/ 1579923 h 1579923"/>
              <a:gd name="connsiteX13" fmla="*/ 0 w 3726895"/>
              <a:gd name="connsiteY13" fmla="*/ 1316603 h 1579923"/>
              <a:gd name="connsiteX14" fmla="*/ 0 w 3726895"/>
              <a:gd name="connsiteY14" fmla="*/ 921622 h 1579923"/>
              <a:gd name="connsiteX15" fmla="*/ 0 w 3726895"/>
              <a:gd name="connsiteY15" fmla="*/ 921622 h 1579923"/>
              <a:gd name="connsiteX16" fmla="*/ 0 w 3726895"/>
              <a:gd name="connsiteY16" fmla="*/ 0 h 1579923"/>
              <a:gd name="connsiteX0" fmla="*/ 0 w 3726895"/>
              <a:gd name="connsiteY0" fmla="*/ 0 h 1777413"/>
              <a:gd name="connsiteX1" fmla="*/ 621149 w 3726895"/>
              <a:gd name="connsiteY1" fmla="*/ 0 h 1777413"/>
              <a:gd name="connsiteX2" fmla="*/ 621149 w 3726895"/>
              <a:gd name="connsiteY2" fmla="*/ 0 h 1777413"/>
              <a:gd name="connsiteX3" fmla="*/ 1552873 w 3726895"/>
              <a:gd name="connsiteY3" fmla="*/ 0 h 1777413"/>
              <a:gd name="connsiteX4" fmla="*/ 3726895 w 3726895"/>
              <a:gd name="connsiteY4" fmla="*/ 0 h 1777413"/>
              <a:gd name="connsiteX5" fmla="*/ 3726895 w 3726895"/>
              <a:gd name="connsiteY5" fmla="*/ 921622 h 1777413"/>
              <a:gd name="connsiteX6" fmla="*/ 3726895 w 3726895"/>
              <a:gd name="connsiteY6" fmla="*/ 921622 h 1777413"/>
              <a:gd name="connsiteX7" fmla="*/ 3726895 w 3726895"/>
              <a:gd name="connsiteY7" fmla="*/ 1316603 h 1777413"/>
              <a:gd name="connsiteX8" fmla="*/ 3726895 w 3726895"/>
              <a:gd name="connsiteY8" fmla="*/ 1579923 h 1777413"/>
              <a:gd name="connsiteX9" fmla="*/ 1552873 w 3726895"/>
              <a:gd name="connsiteY9" fmla="*/ 1579923 h 1777413"/>
              <a:gd name="connsiteX10" fmla="*/ 1087023 w 3726895"/>
              <a:gd name="connsiteY10" fmla="*/ 1777413 h 1777413"/>
              <a:gd name="connsiteX11" fmla="*/ 425206 w 3726895"/>
              <a:gd name="connsiteY11" fmla="*/ 1579923 h 1777413"/>
              <a:gd name="connsiteX12" fmla="*/ 0 w 3726895"/>
              <a:gd name="connsiteY12" fmla="*/ 1579923 h 1777413"/>
              <a:gd name="connsiteX13" fmla="*/ 0 w 3726895"/>
              <a:gd name="connsiteY13" fmla="*/ 1316603 h 1777413"/>
              <a:gd name="connsiteX14" fmla="*/ 0 w 3726895"/>
              <a:gd name="connsiteY14" fmla="*/ 921622 h 1777413"/>
              <a:gd name="connsiteX15" fmla="*/ 0 w 3726895"/>
              <a:gd name="connsiteY15" fmla="*/ 921622 h 1777413"/>
              <a:gd name="connsiteX16" fmla="*/ 0 w 3726895"/>
              <a:gd name="connsiteY16" fmla="*/ 0 h 1777413"/>
              <a:gd name="connsiteX0" fmla="*/ 0 w 3726895"/>
              <a:gd name="connsiteY0" fmla="*/ 0 h 1777413"/>
              <a:gd name="connsiteX1" fmla="*/ 621149 w 3726895"/>
              <a:gd name="connsiteY1" fmla="*/ 0 h 1777413"/>
              <a:gd name="connsiteX2" fmla="*/ 621149 w 3726895"/>
              <a:gd name="connsiteY2" fmla="*/ 0 h 1777413"/>
              <a:gd name="connsiteX3" fmla="*/ 1552873 w 3726895"/>
              <a:gd name="connsiteY3" fmla="*/ 0 h 1777413"/>
              <a:gd name="connsiteX4" fmla="*/ 3726895 w 3726895"/>
              <a:gd name="connsiteY4" fmla="*/ 0 h 1777413"/>
              <a:gd name="connsiteX5" fmla="*/ 3726895 w 3726895"/>
              <a:gd name="connsiteY5" fmla="*/ 921622 h 1777413"/>
              <a:gd name="connsiteX6" fmla="*/ 3726895 w 3726895"/>
              <a:gd name="connsiteY6" fmla="*/ 921622 h 1777413"/>
              <a:gd name="connsiteX7" fmla="*/ 3726895 w 3726895"/>
              <a:gd name="connsiteY7" fmla="*/ 1316603 h 1777413"/>
              <a:gd name="connsiteX8" fmla="*/ 3726895 w 3726895"/>
              <a:gd name="connsiteY8" fmla="*/ 1579923 h 1777413"/>
              <a:gd name="connsiteX9" fmla="*/ 1085624 w 3726895"/>
              <a:gd name="connsiteY9" fmla="*/ 1579923 h 1777413"/>
              <a:gd name="connsiteX10" fmla="*/ 1087023 w 3726895"/>
              <a:gd name="connsiteY10" fmla="*/ 1777413 h 1777413"/>
              <a:gd name="connsiteX11" fmla="*/ 425206 w 3726895"/>
              <a:gd name="connsiteY11" fmla="*/ 1579923 h 1777413"/>
              <a:gd name="connsiteX12" fmla="*/ 0 w 3726895"/>
              <a:gd name="connsiteY12" fmla="*/ 1579923 h 1777413"/>
              <a:gd name="connsiteX13" fmla="*/ 0 w 3726895"/>
              <a:gd name="connsiteY13" fmla="*/ 1316603 h 1777413"/>
              <a:gd name="connsiteX14" fmla="*/ 0 w 3726895"/>
              <a:gd name="connsiteY14" fmla="*/ 921622 h 1777413"/>
              <a:gd name="connsiteX15" fmla="*/ 0 w 3726895"/>
              <a:gd name="connsiteY15" fmla="*/ 921622 h 1777413"/>
              <a:gd name="connsiteX16" fmla="*/ 0 w 3726895"/>
              <a:gd name="connsiteY16" fmla="*/ 0 h 1777413"/>
              <a:gd name="connsiteX0" fmla="*/ 0 w 3726895"/>
              <a:gd name="connsiteY0" fmla="*/ 0 h 1892970"/>
              <a:gd name="connsiteX1" fmla="*/ 621149 w 3726895"/>
              <a:gd name="connsiteY1" fmla="*/ 0 h 1892970"/>
              <a:gd name="connsiteX2" fmla="*/ 621149 w 3726895"/>
              <a:gd name="connsiteY2" fmla="*/ 0 h 1892970"/>
              <a:gd name="connsiteX3" fmla="*/ 1552873 w 3726895"/>
              <a:gd name="connsiteY3" fmla="*/ 0 h 1892970"/>
              <a:gd name="connsiteX4" fmla="*/ 3726895 w 3726895"/>
              <a:gd name="connsiteY4" fmla="*/ 0 h 1892970"/>
              <a:gd name="connsiteX5" fmla="*/ 3726895 w 3726895"/>
              <a:gd name="connsiteY5" fmla="*/ 921622 h 1892970"/>
              <a:gd name="connsiteX6" fmla="*/ 3726895 w 3726895"/>
              <a:gd name="connsiteY6" fmla="*/ 921622 h 1892970"/>
              <a:gd name="connsiteX7" fmla="*/ 3726895 w 3726895"/>
              <a:gd name="connsiteY7" fmla="*/ 1316603 h 1892970"/>
              <a:gd name="connsiteX8" fmla="*/ 3726895 w 3726895"/>
              <a:gd name="connsiteY8" fmla="*/ 1579923 h 1892970"/>
              <a:gd name="connsiteX9" fmla="*/ 1085624 w 3726895"/>
              <a:gd name="connsiteY9" fmla="*/ 1579923 h 1892970"/>
              <a:gd name="connsiteX10" fmla="*/ 1087023 w 3726895"/>
              <a:gd name="connsiteY10" fmla="*/ 1892970 h 1892970"/>
              <a:gd name="connsiteX11" fmla="*/ 425206 w 3726895"/>
              <a:gd name="connsiteY11" fmla="*/ 1579923 h 1892970"/>
              <a:gd name="connsiteX12" fmla="*/ 0 w 3726895"/>
              <a:gd name="connsiteY12" fmla="*/ 1579923 h 1892970"/>
              <a:gd name="connsiteX13" fmla="*/ 0 w 3726895"/>
              <a:gd name="connsiteY13" fmla="*/ 1316603 h 1892970"/>
              <a:gd name="connsiteX14" fmla="*/ 0 w 3726895"/>
              <a:gd name="connsiteY14" fmla="*/ 921622 h 1892970"/>
              <a:gd name="connsiteX15" fmla="*/ 0 w 3726895"/>
              <a:gd name="connsiteY15" fmla="*/ 921622 h 1892970"/>
              <a:gd name="connsiteX16" fmla="*/ 0 w 3726895"/>
              <a:gd name="connsiteY16" fmla="*/ 0 h 189297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</a:cxnLst>
            <a:rect l="l" t="t" r="r" b="b"/>
            <a:pathLst>
              <a:path w="3726895" h="1892970">
                <a:moveTo>
                  <a:pt x="0" y="0"/>
                </a:moveTo>
                <a:lnTo>
                  <a:pt x="621149" y="0"/>
                </a:lnTo>
                <a:lnTo>
                  <a:pt x="621149" y="0"/>
                </a:lnTo>
                <a:lnTo>
                  <a:pt x="1552873" y="0"/>
                </a:lnTo>
                <a:lnTo>
                  <a:pt x="3726895" y="0"/>
                </a:lnTo>
                <a:lnTo>
                  <a:pt x="3726895" y="921622"/>
                </a:lnTo>
                <a:lnTo>
                  <a:pt x="3726895" y="921622"/>
                </a:lnTo>
                <a:lnTo>
                  <a:pt x="3726895" y="1316603"/>
                </a:lnTo>
                <a:lnTo>
                  <a:pt x="3726895" y="1579923"/>
                </a:lnTo>
                <a:lnTo>
                  <a:pt x="1085624" y="1579923"/>
                </a:lnTo>
                <a:cubicBezTo>
                  <a:pt x="1086090" y="1645753"/>
                  <a:pt x="1086557" y="1827140"/>
                  <a:pt x="1087023" y="1892970"/>
                </a:cubicBezTo>
                <a:lnTo>
                  <a:pt x="425206" y="1579923"/>
                </a:lnTo>
                <a:lnTo>
                  <a:pt x="0" y="1579923"/>
                </a:lnTo>
                <a:lnTo>
                  <a:pt x="0" y="1316603"/>
                </a:lnTo>
                <a:lnTo>
                  <a:pt x="0" y="921622"/>
                </a:lnTo>
                <a:lnTo>
                  <a:pt x="0" y="921622"/>
                </a:lnTo>
                <a:lnTo>
                  <a:pt x="0" y="0"/>
                </a:lnTo>
                <a:close/>
              </a:path>
            </a:pathLst>
          </a:custGeom>
          <a:noFill/>
          <a:ln w="12700" cap="flat" cmpd="sng" algn="ctr">
            <a:solidFill>
              <a:srgbClr val="44546A"/>
            </a:solidFill>
            <a:prstDash val="solid"/>
            <a:miter lim="800000"/>
          </a:ln>
          <a:effectLst/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wrap="square" lIns="216000" tIns="0" rIns="216000" bIns="360000" rtlCol="0" anchor="ctr"/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9pPr>
          </a:lstStyle>
          <a:p>
            <a:endParaRPr lang="es-ES" sz="1400">
              <a:solidFill>
                <a:srgbClr val="44546A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" name="18 Rectángulo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5801979" y="3596452"/>
            <a:ext cx="3788921" cy="1600438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9pPr>
          </a:lstStyle>
          <a:p>
            <a:r>
              <a:rPr lang="es-ES" sz="1400" b="1">
                <a:solidFill>
                  <a:srgbClr val="D4107E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*SALARIO EMOCIONAL:</a:t>
            </a:r>
            <a:r>
              <a:rPr lang="es-ES" sz="1400">
                <a:solidFill>
                  <a:srgbClr val="D4107E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“Forma de retribución compuesta por incentivos ‘no económicos’, destinados a satisfacer necesidades de tipo personal, familiar y profesional del empleado, con el objetivo de mejorar de forma global la calidad de vida del mismo y la de su entorno”.</a:t>
            </a:r>
          </a:p>
        </xdr:txBody>
      </xdr:sp>
      <xdr:sp macro="" textlink="">
        <xdr:nvSpPr>
          <xdr:cNvPr id="13" name="23 Rectángulo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1099170" y="3596452"/>
            <a:ext cx="3672000" cy="1600438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9pPr>
          </a:lstStyle>
          <a:p>
            <a:r>
              <a:rPr lang="es-ES" sz="1400" b="1">
                <a:solidFill>
                  <a:srgbClr val="44546A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*OBJETIVOS:</a:t>
            </a:r>
            <a:r>
              <a:rPr lang="es-ES" sz="1400">
                <a:solidFill>
                  <a:srgbClr val="44546A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son las metas particulares, específicas, entendibles, compartidas, alcanzables y medibles a las que se busca llegar en un período de tiempo determinado, por medio de un conjunto de personas y cuyo logro pretende generar motivación en el personal.</a:t>
            </a:r>
          </a:p>
        </xdr:txBody>
      </xdr:sp>
      <xdr:sp macro="" textlink="">
        <xdr:nvSpPr>
          <xdr:cNvPr id="14" name="object 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923925" y="5396649"/>
            <a:ext cx="4083058" cy="360000"/>
          </a:xfrm>
          <a:custGeom>
            <a:avLst/>
            <a:gdLst/>
            <a:ahLst/>
            <a:cxnLst/>
            <a:rect l="l" t="t" r="r" b="b"/>
            <a:pathLst>
              <a:path w="9753600" h="3581400">
                <a:moveTo>
                  <a:pt x="0" y="0"/>
                </a:moveTo>
                <a:lnTo>
                  <a:pt x="9753600" y="0"/>
                </a:lnTo>
                <a:lnTo>
                  <a:pt x="9753600" y="3581400"/>
                </a:lnTo>
                <a:lnTo>
                  <a:pt x="0" y="3581400"/>
                </a:lnTo>
                <a:lnTo>
                  <a:pt x="0" y="0"/>
                </a:lnTo>
                <a:close/>
              </a:path>
            </a:pathLst>
          </a:custGeom>
          <a:solidFill>
            <a:sysClr val="window" lastClr="FFFFFF">
              <a:lumMod val="95000"/>
              <a:alpha val="79998"/>
            </a:sysClr>
          </a:solidFill>
        </xdr:spPr>
        <xdr:txBody>
          <a:bodyPr wrap="square" lIns="0" tIns="0" rIns="0" bIns="0" rtlCol="0" anchor="ctr"/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9pPr>
          </a:lstStyle>
          <a:p>
            <a:pPr algn="ctr" defTabSz="857250"/>
            <a:r>
              <a:rPr lang="es-AR" sz="1400" b="1">
                <a:solidFill>
                  <a:srgbClr val="44546A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Siempre supervisados por un responsable.</a:t>
            </a:r>
          </a:p>
        </xdr:txBody>
      </xdr:sp>
      <xdr:sp macro="" textlink="">
        <xdr:nvSpPr>
          <xdr:cNvPr id="15" name="object 3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5652658" y="5396649"/>
            <a:ext cx="4083058" cy="360000"/>
          </a:xfrm>
          <a:custGeom>
            <a:avLst/>
            <a:gdLst/>
            <a:ahLst/>
            <a:cxnLst/>
            <a:rect l="l" t="t" r="r" b="b"/>
            <a:pathLst>
              <a:path w="9753600" h="3581400">
                <a:moveTo>
                  <a:pt x="0" y="0"/>
                </a:moveTo>
                <a:lnTo>
                  <a:pt x="9753600" y="0"/>
                </a:lnTo>
                <a:lnTo>
                  <a:pt x="9753600" y="3581400"/>
                </a:lnTo>
                <a:lnTo>
                  <a:pt x="0" y="3581400"/>
                </a:lnTo>
                <a:lnTo>
                  <a:pt x="0" y="0"/>
                </a:lnTo>
                <a:close/>
              </a:path>
            </a:pathLst>
          </a:custGeom>
          <a:solidFill>
            <a:sysClr val="window" lastClr="FFFFFF">
              <a:lumMod val="95000"/>
              <a:alpha val="79998"/>
            </a:sysClr>
          </a:solidFill>
        </xdr:spPr>
        <xdr:txBody>
          <a:bodyPr wrap="square" lIns="0" tIns="0" rIns="0" bIns="0" rtlCol="0" anchor="ctr"/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9pPr>
          </a:lstStyle>
          <a:p>
            <a:pPr algn="ctr" defTabSz="857250"/>
            <a:r>
              <a:rPr lang="es-AR" sz="1400" b="1">
                <a:solidFill>
                  <a:srgbClr val="D4107E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Siempre adecuado a los recursos de la ES.</a:t>
            </a:r>
          </a:p>
        </xdr:txBody>
      </xdr:sp>
      <xdr:sp macro="" textlink="">
        <xdr:nvSpPr>
          <xdr:cNvPr id="16" name="16 Rectángul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2039535" y="704850"/>
            <a:ext cx="6498895" cy="523220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Text" lastClr="000000"/>
                </a:solidFill>
                <a:latin typeface="Gotham Light"/>
              </a:defRPr>
            </a:lvl9pPr>
          </a:lstStyle>
          <a:p>
            <a:pPr algn="ctr"/>
            <a:r>
              <a:rPr lang="es-AR" sz="2800" b="1">
                <a:solidFill>
                  <a:srgbClr val="D40F7D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¿Cómo desarrollar planes efectivos?</a:t>
            </a:r>
            <a:endParaRPr lang="es-AR" sz="28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9525</xdr:colOff>
      <xdr:row>33</xdr:row>
      <xdr:rowOff>0</xdr:rowOff>
    </xdr:from>
    <xdr:to>
      <xdr:col>14</xdr:col>
      <xdr:colOff>633525</xdr:colOff>
      <xdr:row>38</xdr:row>
      <xdr:rowOff>37314</xdr:rowOff>
    </xdr:to>
    <xdr:sp macro="" textlink="">
      <xdr:nvSpPr>
        <xdr:cNvPr id="30" name="1 Títul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Grp="1"/>
        </xdr:cNvSpPr>
      </xdr:nvSpPr>
      <xdr:spPr>
        <a:xfrm>
          <a:off x="9525" y="6286500"/>
          <a:ext cx="11292000" cy="989814"/>
        </a:xfrm>
        <a:prstGeom prst="rect">
          <a:avLst/>
        </a:prstGeom>
        <a:noFill/>
      </xdr:spPr>
      <xdr:txBody>
        <a:bodyPr vert="horz" wrap="square" lIns="91440" tIns="45720" rIns="91440" bIns="45720" rtlCol="0" anchor="ctr">
          <a:noAutofit/>
        </a:bodyPr>
        <a:lstStyle>
          <a:lvl1pPr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3800" kern="1200">
              <a:solidFill>
                <a:srgbClr val="1A2D41"/>
              </a:solidFill>
              <a:latin typeface="Gotham Light"/>
            </a:defRPr>
          </a:lvl1pPr>
        </a:lstStyle>
        <a:p>
          <a:r>
            <a:rPr lang="es-AR" sz="3600">
              <a:latin typeface="Arial" panose="020B0604020202020204" pitchFamily="34" charset="0"/>
              <a:cs typeface="Arial" panose="020B0604020202020204" pitchFamily="34" charset="0"/>
            </a:rPr>
            <a:t>5 claves del salario emocional para </a:t>
          </a:r>
          <a:r>
            <a:rPr lang="es-AR" sz="3600">
              <a:solidFill>
                <a:srgbClr val="D4107E"/>
              </a:solidFill>
              <a:latin typeface="Arial" panose="020B0604020202020204" pitchFamily="34" charset="0"/>
              <a:cs typeface="Arial" panose="020B0604020202020204" pitchFamily="34" charset="0"/>
            </a:rPr>
            <a:t>fidelizar el talento</a:t>
          </a:r>
        </a:p>
      </xdr:txBody>
    </xdr:sp>
    <xdr:clientData/>
  </xdr:twoCellAnchor>
  <xdr:twoCellAnchor>
    <xdr:from>
      <xdr:col>0</xdr:col>
      <xdr:colOff>630477</xdr:colOff>
      <xdr:row>38</xdr:row>
      <xdr:rowOff>133069</xdr:rowOff>
    </xdr:from>
    <xdr:to>
      <xdr:col>7</xdr:col>
      <xdr:colOff>27012</xdr:colOff>
      <xdr:row>47</xdr:row>
      <xdr:rowOff>49785</xdr:rowOff>
    </xdr:to>
    <xdr:sp macro="" textlink="">
      <xdr:nvSpPr>
        <xdr:cNvPr id="31" name="CuadroTexto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630477" y="7372069"/>
          <a:ext cx="4730535" cy="1631216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9pPr>
        </a:lstStyle>
        <a:p>
          <a:pPr>
            <a:defRPr/>
          </a:pPr>
          <a:r>
            <a:rPr lang="es-ES" sz="1600" b="1">
              <a:solidFill>
                <a:srgbClr val="D4107E"/>
              </a:solidFill>
              <a:latin typeface="Arial" panose="020B0604020202020204" pitchFamily="34" charset="0"/>
              <a:cs typeface="Arial" panose="020B0604020202020204" pitchFamily="34" charset="0"/>
            </a:rPr>
            <a:t>OPORTUNIDADES DE DESARROLLO</a:t>
          </a:r>
        </a:p>
        <a:p>
          <a:pPr>
            <a:defRPr/>
          </a:pPr>
          <a:r>
            <a:rPr lang="es-ES" sz="1400">
              <a:solidFill>
                <a:srgbClr val="D40F7D"/>
              </a:solidFill>
              <a:latin typeface="Arial" panose="020B0604020202020204" pitchFamily="34" charset="0"/>
              <a:cs typeface="Arial" panose="020B0604020202020204" pitchFamily="34" charset="0"/>
            </a:rPr>
            <a:t>Capacitación permanente, entrenamiento in-situ, promoción interna en distintas áreas. </a:t>
          </a:r>
          <a:r>
            <a:rPr lang="es-ES" sz="1400" u="sng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rPr>
            <a:t>Ejemplos</a:t>
          </a:r>
          <a:r>
            <a:rPr lang="es-ES" sz="1400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rPr>
            <a:t>: formación específica sobre el puesto de trabajo en AXION campus y presencial, acuerdos con instituciones educativas, asignación de recursos para formarse como PC y tiempo para hacer cursos, etc.</a:t>
          </a:r>
        </a:p>
      </xdr:txBody>
    </xdr:sp>
    <xdr:clientData/>
  </xdr:twoCellAnchor>
  <xdr:twoCellAnchor>
    <xdr:from>
      <xdr:col>8</xdr:col>
      <xdr:colOff>463800</xdr:colOff>
      <xdr:row>38</xdr:row>
      <xdr:rowOff>133069</xdr:rowOff>
    </xdr:from>
    <xdr:to>
      <xdr:col>14</xdr:col>
      <xdr:colOff>671538</xdr:colOff>
      <xdr:row>47</xdr:row>
      <xdr:rowOff>49785</xdr:rowOff>
    </xdr:to>
    <xdr:sp macro="" textlink="">
      <xdr:nvSpPr>
        <xdr:cNvPr id="32" name="CuadroTexto 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6559800" y="7372069"/>
          <a:ext cx="4779738" cy="1631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spAutoFit/>
        </a:bodyPr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9pPr>
        </a:lstStyle>
        <a:p>
          <a:pPr>
            <a:defRPr/>
          </a:pPr>
          <a:r>
            <a:rPr lang="es-ES" sz="1600" b="1">
              <a:solidFill>
                <a:srgbClr val="D4107E"/>
              </a:solidFill>
              <a:latin typeface="Arial" panose="020B0604020202020204" pitchFamily="34" charset="0"/>
              <a:cs typeface="Arial" panose="020B0604020202020204" pitchFamily="34" charset="0"/>
            </a:rPr>
            <a:t>BALANCE DE VIDA</a:t>
          </a:r>
        </a:p>
        <a:p>
          <a:pPr>
            <a:defRPr/>
          </a:pPr>
          <a:r>
            <a:rPr lang="es-ES" sz="1400">
              <a:solidFill>
                <a:srgbClr val="D40F7D"/>
              </a:solidFill>
              <a:latin typeface="Arial" panose="020B0604020202020204" pitchFamily="34" charset="0"/>
              <a:cs typeface="Arial" panose="020B0604020202020204" pitchFamily="34" charset="0"/>
            </a:rPr>
            <a:t>Esquemas de trabajo flexible, beneficios de salud, integración de la familia y oportunidades de esparcimiento y recreación.</a:t>
          </a:r>
          <a:r>
            <a:rPr lang="es-ES" sz="1400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400" u="sng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rPr>
            <a:t>Ejemplos</a:t>
          </a:r>
          <a:r>
            <a:rPr lang="es-ES" sz="1400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rPr>
            <a:t>: snacks saludables y refrescos, francos flexibles a pedido, día libre por cumpleaños, vouchers de comida, entradas al cine, una picada para la familia, ampliación de licencia por paternidad, etc.</a:t>
          </a:r>
        </a:p>
      </xdr:txBody>
    </xdr:sp>
    <xdr:clientData/>
  </xdr:twoCellAnchor>
  <xdr:twoCellAnchor>
    <xdr:from>
      <xdr:col>0</xdr:col>
      <xdr:colOff>657773</xdr:colOff>
      <xdr:row>50</xdr:row>
      <xdr:rowOff>31423</xdr:rowOff>
    </xdr:from>
    <xdr:to>
      <xdr:col>4</xdr:col>
      <xdr:colOff>705773</xdr:colOff>
      <xdr:row>63</xdr:row>
      <xdr:rowOff>47913</xdr:rowOff>
    </xdr:to>
    <xdr:sp macro="" textlink="">
      <xdr:nvSpPr>
        <xdr:cNvPr id="33" name="CuadroTexto 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657773" y="9556423"/>
          <a:ext cx="3096000" cy="24929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rIns="0">
          <a:spAutoFit/>
        </a:bodyPr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9pPr>
        </a:lstStyle>
        <a:p>
          <a:pPr>
            <a:defRPr/>
          </a:pPr>
          <a:r>
            <a:rPr lang="es-ES" sz="1600" b="1">
              <a:solidFill>
                <a:srgbClr val="D4107E"/>
              </a:solidFill>
              <a:latin typeface="Arial" panose="020B0604020202020204" pitchFamily="34" charset="0"/>
              <a:cs typeface="Arial" panose="020B0604020202020204" pitchFamily="34" charset="0"/>
            </a:rPr>
            <a:t>AMBIENTE LABORAL</a:t>
          </a:r>
        </a:p>
        <a:p>
          <a:pPr>
            <a:defRPr/>
          </a:pPr>
          <a:r>
            <a:rPr lang="es-ES" sz="1400">
              <a:solidFill>
                <a:srgbClr val="D40F7D"/>
              </a:solidFill>
              <a:latin typeface="Arial" panose="020B0604020202020204" pitchFamily="34" charset="0"/>
              <a:cs typeface="Arial" panose="020B0604020202020204" pitchFamily="34" charset="0"/>
            </a:rPr>
            <a:t>Clima de compañerismo, bienestar psicológico, reducción de estrés, sentido de familia y equipo. </a:t>
          </a:r>
          <a:r>
            <a:rPr lang="es-ES" sz="1400" u="sng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rPr>
            <a:t>Ejemplos</a:t>
          </a:r>
          <a:r>
            <a:rPr lang="es-ES" sz="1400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rPr>
            <a:t>: festejo de cumpleaños, celebración de logros personales, sala de descanso, actividades de integración como fútbol entre empleados, ejercicios de relajación en el trabajo, música de relajación en áreas administrativas y de descanso, etc.</a:t>
          </a:r>
        </a:p>
      </xdr:txBody>
    </xdr:sp>
    <xdr:clientData/>
  </xdr:twoCellAnchor>
  <xdr:twoCellAnchor>
    <xdr:from>
      <xdr:col>11</xdr:col>
      <xdr:colOff>211242</xdr:colOff>
      <xdr:row>50</xdr:row>
      <xdr:rowOff>31423</xdr:rowOff>
    </xdr:from>
    <xdr:to>
      <xdr:col>14</xdr:col>
      <xdr:colOff>671538</xdr:colOff>
      <xdr:row>64</xdr:row>
      <xdr:rowOff>72857</xdr:rowOff>
    </xdr:to>
    <xdr:sp macro="" textlink="">
      <xdr:nvSpPr>
        <xdr:cNvPr id="34" name="CuadroTexto 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8593242" y="9556423"/>
          <a:ext cx="2746296" cy="2708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rIns="0">
          <a:spAutoFit/>
        </a:bodyPr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9pPr>
        </a:lstStyle>
        <a:p>
          <a:pPr>
            <a:defRPr/>
          </a:pPr>
          <a:r>
            <a:rPr lang="es-ES" sz="1600" b="1">
              <a:solidFill>
                <a:srgbClr val="D4107E"/>
              </a:solidFill>
              <a:latin typeface="Arial" panose="020B0604020202020204" pitchFamily="34" charset="0"/>
              <a:cs typeface="Arial" panose="020B0604020202020204" pitchFamily="34" charset="0"/>
            </a:rPr>
            <a:t>CULTURA SOCIAL</a:t>
          </a:r>
        </a:p>
        <a:p>
          <a:pPr>
            <a:defRPr/>
          </a:pPr>
          <a:r>
            <a:rPr lang="es-ES" sz="1400">
              <a:solidFill>
                <a:srgbClr val="D40F7D"/>
              </a:solidFill>
              <a:latin typeface="Arial" panose="020B0604020202020204" pitchFamily="34" charset="0"/>
              <a:cs typeface="Arial" panose="020B0604020202020204" pitchFamily="34" charset="0"/>
            </a:rPr>
            <a:t>Valores compartidos, ética en el lugar de trabajo y relación con los líderes, responsabilidad social, trascendencia en la comunidad, voluntariado. </a:t>
          </a:r>
          <a:r>
            <a:rPr lang="es-ES" sz="1400" u="sng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rPr>
            <a:t>Ejemplos:</a:t>
          </a:r>
          <a:r>
            <a:rPr lang="es-ES" sz="1400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rPr>
            <a:t> cestos para reciclar, comunicación abierta con los encargados y operadores, respeto por la diversidad, visitas de escuelas, evento de seguridad para los vecinos del barrio, etc.</a:t>
          </a:r>
        </a:p>
      </xdr:txBody>
    </xdr:sp>
    <xdr:clientData/>
  </xdr:twoCellAnchor>
  <xdr:twoCellAnchor>
    <xdr:from>
      <xdr:col>5</xdr:col>
      <xdr:colOff>629631</xdr:colOff>
      <xdr:row>50</xdr:row>
      <xdr:rowOff>31423</xdr:rowOff>
    </xdr:from>
    <xdr:to>
      <xdr:col>9</xdr:col>
      <xdr:colOff>749631</xdr:colOff>
      <xdr:row>65</xdr:row>
      <xdr:rowOff>97800</xdr:rowOff>
    </xdr:to>
    <xdr:sp macro="" textlink="">
      <xdr:nvSpPr>
        <xdr:cNvPr id="35" name="CuadroTexto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439631" y="9556423"/>
          <a:ext cx="3168000" cy="292387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rIns="0">
          <a:spAutoFit/>
        </a:bodyPr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Gotham Light"/>
            </a:defRPr>
          </a:lvl9pPr>
        </a:lstStyle>
        <a:p>
          <a:pPr>
            <a:defRPr/>
          </a:pPr>
          <a:r>
            <a:rPr lang="es-ES" sz="1600" b="1">
              <a:solidFill>
                <a:srgbClr val="D4107E"/>
              </a:solidFill>
              <a:latin typeface="Arial" panose="020B0604020202020204" pitchFamily="34" charset="0"/>
              <a:cs typeface="Arial" panose="020B0604020202020204" pitchFamily="34" charset="0"/>
            </a:rPr>
            <a:t>IDENTIFICACIÓN CON LA EESS</a:t>
          </a:r>
        </a:p>
        <a:p>
          <a:pPr>
            <a:defRPr/>
          </a:pPr>
          <a:r>
            <a:rPr lang="es-ES" sz="1400">
              <a:solidFill>
                <a:srgbClr val="D40F7D"/>
              </a:solidFill>
              <a:latin typeface="Arial" panose="020B0604020202020204" pitchFamily="34" charset="0"/>
              <a:cs typeface="Arial" panose="020B0604020202020204" pitchFamily="34" charset="0"/>
            </a:rPr>
            <a:t>Sentido de pertenencia con la marca AXION y la estación, participación en la toma de decisiones, comunicación permanente, reconocimiento, retos profesionales.</a:t>
          </a:r>
          <a:r>
            <a:rPr lang="es-ES" sz="1400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ES" sz="1400" u="sng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rPr>
            <a:t>Ejemplos</a:t>
          </a:r>
          <a:r>
            <a:rPr lang="es-ES" sz="1400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rPr>
            <a:t>: vendedor del mes, premio anual por desempeño, reuniones de equipo sobre metas, programa de descuentos interno en combustibles y otros, acuerdos con comercios locales, merchandising, carteleras y grupos en redes, uniformes de recambio, etc.</a:t>
          </a:r>
        </a:p>
      </xdr:txBody>
    </xdr:sp>
    <xdr:clientData/>
  </xdr:twoCellAnchor>
  <xdr:twoCellAnchor editAs="oneCell">
    <xdr:from>
      <xdr:col>0</xdr:col>
      <xdr:colOff>46593</xdr:colOff>
      <xdr:row>38</xdr:row>
      <xdr:rowOff>123987</xdr:rowOff>
    </xdr:from>
    <xdr:to>
      <xdr:col>0</xdr:col>
      <xdr:colOff>629865</xdr:colOff>
      <xdr:row>41</xdr:row>
      <xdr:rowOff>128487</xdr:rowOff>
    </xdr:to>
    <xdr:pic>
      <xdr:nvPicPr>
        <xdr:cNvPr id="36" name="Afbeelding 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93" y="7362987"/>
          <a:ext cx="583272" cy="576000"/>
        </a:xfrm>
        <a:prstGeom prst="rect">
          <a:avLst/>
        </a:prstGeom>
      </xdr:spPr>
    </xdr:pic>
    <xdr:clientData/>
  </xdr:twoCellAnchor>
  <xdr:twoCellAnchor>
    <xdr:from>
      <xdr:col>0</xdr:col>
      <xdr:colOff>54478</xdr:colOff>
      <xdr:row>50</xdr:row>
      <xdr:rowOff>31423</xdr:rowOff>
    </xdr:from>
    <xdr:to>
      <xdr:col>0</xdr:col>
      <xdr:colOff>670221</xdr:colOff>
      <xdr:row>53</xdr:row>
      <xdr:rowOff>49571</xdr:rowOff>
    </xdr:to>
    <xdr:grpSp>
      <xdr:nvGrpSpPr>
        <xdr:cNvPr id="37" name="9 Grup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54478" y="9556423"/>
          <a:ext cx="615743" cy="589648"/>
          <a:chOff x="532269" y="3374044"/>
          <a:chExt cx="576000" cy="589648"/>
        </a:xfrm>
      </xdr:grpSpPr>
      <xdr:pic>
        <xdr:nvPicPr>
          <xdr:cNvPr id="47" name="Picture 2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69" y="3374044"/>
            <a:ext cx="576000" cy="576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8" name="2 Elipse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532269" y="3387692"/>
            <a:ext cx="538822" cy="576000"/>
          </a:xfrm>
          <a:prstGeom prst="ellipse">
            <a:avLst/>
          </a:prstGeom>
          <a:noFill/>
          <a:ln w="19050" cap="flat" cmpd="sng" algn="ctr">
            <a:solidFill>
              <a:srgbClr val="1A2D41">
                <a:shade val="50000"/>
              </a:srgbClr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9pPr>
          </a:lstStyle>
          <a:p>
            <a:pPr algn="ctr"/>
            <a:endParaRPr lang="es-AR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5</xdr:col>
      <xdr:colOff>133049</xdr:colOff>
      <xdr:row>50</xdr:row>
      <xdr:rowOff>31423</xdr:rowOff>
    </xdr:from>
    <xdr:to>
      <xdr:col>5</xdr:col>
      <xdr:colOff>629631</xdr:colOff>
      <xdr:row>54</xdr:row>
      <xdr:rowOff>2203</xdr:rowOff>
    </xdr:to>
    <xdr:grpSp>
      <xdr:nvGrpSpPr>
        <xdr:cNvPr id="38" name="16 Grup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3943049" y="9556423"/>
          <a:ext cx="496582" cy="732780"/>
          <a:chOff x="5818188" y="3019425"/>
          <a:chExt cx="658398" cy="971563"/>
        </a:xfrm>
      </xdr:grpSpPr>
      <xdr:pic>
        <xdr:nvPicPr>
          <xdr:cNvPr id="45" name="Picture 3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818188" y="3019425"/>
            <a:ext cx="658398" cy="97156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6" name="Picture 4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1887" t="5896" r="3896" b="44433"/>
          <a:stretch/>
        </xdr:blipFill>
        <xdr:spPr bwMode="auto">
          <a:xfrm>
            <a:off x="5933177" y="3136981"/>
            <a:ext cx="428420" cy="43199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7</xdr:col>
      <xdr:colOff>587925</xdr:colOff>
      <xdr:row>38</xdr:row>
      <xdr:rowOff>126912</xdr:rowOff>
    </xdr:from>
    <xdr:to>
      <xdr:col>8</xdr:col>
      <xdr:colOff>437925</xdr:colOff>
      <xdr:row>41</xdr:row>
      <xdr:rowOff>131413</xdr:rowOff>
    </xdr:to>
    <xdr:grpSp>
      <xdr:nvGrpSpPr>
        <xdr:cNvPr id="39" name="19 Grup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5921925" y="7365912"/>
          <a:ext cx="612000" cy="576001"/>
          <a:chOff x="6645379" y="1474258"/>
          <a:chExt cx="684000" cy="648000"/>
        </a:xfrm>
      </xdr:grpSpPr>
      <xdr:pic>
        <xdr:nvPicPr>
          <xdr:cNvPr id="43" name="Picture 5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22323" y="1546850"/>
            <a:ext cx="530113" cy="53011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4" name="17 Elipse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6645379" y="1474258"/>
            <a:ext cx="684000" cy="648000"/>
          </a:xfrm>
          <a:prstGeom prst="ellipse">
            <a:avLst/>
          </a:prstGeom>
          <a:noFill/>
          <a:ln w="19050" cap="flat" cmpd="sng" algn="ctr">
            <a:solidFill>
              <a:srgbClr val="D4107E"/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9pPr>
          </a:lstStyle>
          <a:p>
            <a:pPr algn="ctr"/>
            <a:endParaRPr lang="es-AR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10</xdr:col>
      <xdr:colOff>344128</xdr:colOff>
      <xdr:row>50</xdr:row>
      <xdr:rowOff>31423</xdr:rowOff>
    </xdr:from>
    <xdr:to>
      <xdr:col>11</xdr:col>
      <xdr:colOff>194128</xdr:colOff>
      <xdr:row>53</xdr:row>
      <xdr:rowOff>71924</xdr:rowOff>
    </xdr:to>
    <xdr:grpSp>
      <xdr:nvGrpSpPr>
        <xdr:cNvPr id="40" name="21 Grup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7964128" y="9556423"/>
          <a:ext cx="612000" cy="612001"/>
          <a:chOff x="8554936" y="4954137"/>
          <a:chExt cx="724678" cy="724678"/>
        </a:xfrm>
      </xdr:grpSpPr>
      <xdr:pic>
        <xdr:nvPicPr>
          <xdr:cNvPr id="41" name="Picture 6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58615" y="5141420"/>
            <a:ext cx="717321" cy="432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2" name="20 Elipse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8554936" y="4954137"/>
            <a:ext cx="724678" cy="724678"/>
          </a:xfrm>
          <a:prstGeom prst="ellipse">
            <a:avLst/>
          </a:prstGeom>
          <a:noFill/>
          <a:ln w="19050" cap="flat" cmpd="sng" algn="ctr">
            <a:solidFill>
              <a:srgbClr val="1A2D41">
                <a:shade val="50000"/>
              </a:srgbClr>
            </a:solidFill>
            <a:prstDash val="solid"/>
            <a:miter lim="800000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1pPr>
            <a:lvl2pPr marL="457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2pPr>
            <a:lvl3pPr marL="914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3pPr>
            <a:lvl4pPr marL="1371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4pPr>
            <a:lvl5pPr marL="18288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5pPr>
            <a:lvl6pPr marL="22860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6pPr>
            <a:lvl7pPr marL="27432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7pPr>
            <a:lvl8pPr marL="32004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8pPr>
            <a:lvl9pPr marL="3657600" algn="l" defTabSz="914400" rtl="0" eaLnBrk="1" latinLnBrk="0" hangingPunct="1">
              <a:defRPr sz="1800" kern="1200">
                <a:solidFill>
                  <a:sysClr val="window" lastClr="FFFFFF"/>
                </a:solidFill>
                <a:latin typeface="Gotham Light"/>
              </a:defRPr>
            </a:lvl9pPr>
          </a:lstStyle>
          <a:p>
            <a:pPr algn="ctr"/>
            <a:endParaRPr lang="es-AR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2286000</xdr:colOff>
      <xdr:row>0</xdr:row>
      <xdr:rowOff>47625</xdr:rowOff>
    </xdr:from>
    <xdr:to>
      <xdr:col>8</xdr:col>
      <xdr:colOff>1028700</xdr:colOff>
      <xdr:row>2</xdr:row>
      <xdr:rowOff>163097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4733925" y="47625"/>
          <a:ext cx="5010150" cy="534572"/>
          <a:chOff x="4733925" y="47625"/>
          <a:chExt cx="5562600" cy="534572"/>
        </a:xfrm>
      </xdr:grpSpPr>
      <xdr:grpSp>
        <xdr:nvGrpSpPr>
          <xdr:cNvPr id="10" name="9 Grupo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GrpSpPr/>
        </xdr:nvGrpSpPr>
        <xdr:grpSpPr>
          <a:xfrm>
            <a:off x="4733925" y="129174"/>
            <a:ext cx="4868419" cy="371475"/>
            <a:chOff x="5883555" y="2039940"/>
            <a:chExt cx="4481497" cy="346335"/>
          </a:xfrm>
        </xdr:grpSpPr>
        <xdr:pic>
          <xdr:nvPicPr>
            <xdr:cNvPr id="11" name="Picture 2" descr="C:\Users\Door 1\Documents\Institucional DOOR\LOGO DOOR 2020\01 Isologo Blue sin R\DOOR_IsoLogo_Horizontal_Blue_RGB_small.png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684" t="10035" r="2287" b="10035"/>
            <a:stretch/>
          </xdr:blipFill>
          <xdr:spPr bwMode="auto">
            <a:xfrm>
              <a:off x="5883555" y="2039940"/>
              <a:ext cx="2520000" cy="34633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" name="Picture 2" descr="C:\Users\Door 1\Documents\Comunicación\LOGOS\AXION-MktInst-Color.png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9720" t="22229" r="8073" b="26152"/>
            <a:stretch/>
          </xdr:blipFill>
          <xdr:spPr bwMode="auto">
            <a:xfrm>
              <a:off x="8682845" y="2047503"/>
              <a:ext cx="1682207" cy="3240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72650" y="47625"/>
            <a:ext cx="523875" cy="534572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190500</xdr:colOff>
      <xdr:row>11</xdr:row>
      <xdr:rowOff>66675</xdr:rowOff>
    </xdr:from>
    <xdr:to>
      <xdr:col>8</xdr:col>
      <xdr:colOff>875615</xdr:colOff>
      <xdr:row>11</xdr:row>
      <xdr:rowOff>534675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581025" y="3648075"/>
          <a:ext cx="9105215" cy="468000"/>
          <a:chOff x="2562225" y="3201018"/>
          <a:chExt cx="9105215" cy="468000"/>
        </a:xfrm>
      </xdr:grpSpPr>
      <xdr:grpSp>
        <xdr:nvGrpSpPr>
          <xdr:cNvPr id="7" name="Grupo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GrpSpPr/>
        </xdr:nvGrpSpPr>
        <xdr:grpSpPr>
          <a:xfrm>
            <a:off x="4512877" y="3201018"/>
            <a:ext cx="7154563" cy="468000"/>
            <a:chOff x="4512877" y="3211162"/>
            <a:chExt cx="7154563" cy="468000"/>
          </a:xfrm>
        </xdr:grpSpPr>
        <xdr:cxnSp macro="">
          <xdr:nvCxnSpPr>
            <xdr:cNvPr id="9" name="32 Conector recto de flecha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CxnSpPr/>
          </xdr:nvCxnSpPr>
          <xdr:spPr>
            <a:xfrm>
              <a:off x="4696138" y="3445162"/>
              <a:ext cx="6481622" cy="0"/>
            </a:xfrm>
            <a:prstGeom prst="straightConnector1">
              <a:avLst/>
            </a:prstGeom>
            <a:ln w="38100">
              <a:solidFill>
                <a:srgbClr val="002060"/>
              </a:solidFill>
              <a:headEnd type="none" w="med" len="med"/>
              <a:tailEnd type="arrow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" name="33 Rectángulo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>
            <a:xfrm>
              <a:off x="6438824" y="3291274"/>
              <a:ext cx="3067126" cy="269369"/>
            </a:xfrm>
            <a:prstGeom prst="rect">
              <a:avLst/>
            </a:prstGeom>
            <a:solidFill>
              <a:srgbClr val="002060"/>
            </a:solidFill>
          </xdr:spPr>
          <xdr:txBody>
            <a:bodyPr wrap="square">
              <a:spAutoFit/>
            </a:bodyPr>
            <a:lstStyle>
              <a:defPPr>
                <a:defRPr lang="nl-NL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857250"/>
              <a:r>
                <a:rPr lang="es-ES" sz="1200" b="1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Nivel de acompañamiento del líder</a:t>
              </a:r>
              <a:endParaRPr lang="es-ES" sz="12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grpSp>
          <xdr:nvGrpSpPr>
            <xdr:cNvPr id="14" name="35 Grupo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GrpSpPr/>
          </xdr:nvGrpSpPr>
          <xdr:grpSpPr>
            <a:xfrm>
              <a:off x="11199440" y="3211162"/>
              <a:ext cx="468000" cy="468000"/>
              <a:chOff x="11106850" y="5403429"/>
              <a:chExt cx="468000" cy="468000"/>
            </a:xfrm>
          </xdr:grpSpPr>
          <xdr:sp macro="" textlink="">
            <xdr:nvSpPr>
              <xdr:cNvPr id="18" name="40 Elipse">
                <a:extLst>
                  <a:ext uri="{FF2B5EF4-FFF2-40B4-BE49-F238E27FC236}">
                    <a16:creationId xmlns:a16="http://schemas.microsoft.com/office/drawing/2014/main" id="{00000000-0008-0000-0100-000012000000}"/>
                  </a:ext>
                </a:extLst>
              </xdr:cNvPr>
              <xdr:cNvSpPr/>
            </xdr:nvSpPr>
            <xdr:spPr>
              <a:xfrm>
                <a:off x="11106850" y="5403429"/>
                <a:ext cx="468000" cy="468000"/>
              </a:xfrm>
              <a:prstGeom prst="ellipse">
                <a:avLst/>
              </a:prstGeom>
              <a:solidFill>
                <a:srgbClr val="92D050"/>
              </a:solidFill>
              <a:ln>
                <a:solidFill>
                  <a:srgbClr val="00206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nl-NL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AR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19" name="41 Menos">
                <a:extLst>
                  <a:ext uri="{FF2B5EF4-FFF2-40B4-BE49-F238E27FC236}">
                    <a16:creationId xmlns:a16="http://schemas.microsoft.com/office/drawing/2014/main" id="{00000000-0008-0000-0100-000013000000}"/>
                  </a:ext>
                </a:extLst>
              </xdr:cNvPr>
              <xdr:cNvSpPr/>
            </xdr:nvSpPr>
            <xdr:spPr>
              <a:xfrm>
                <a:off x="11179900" y="5457429"/>
                <a:ext cx="360000" cy="360000"/>
              </a:xfrm>
              <a:prstGeom prst="mathMinus">
                <a:avLst/>
              </a:prstGeom>
              <a:solidFill>
                <a:srgbClr val="00206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nl-NL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AR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grpSp>
          <xdr:nvGrpSpPr>
            <xdr:cNvPr id="15" name="36 Grupo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GrpSpPr/>
          </xdr:nvGrpSpPr>
          <xdr:grpSpPr>
            <a:xfrm>
              <a:off x="4512877" y="3211162"/>
              <a:ext cx="468000" cy="468000"/>
              <a:chOff x="4032063" y="4020556"/>
              <a:chExt cx="468000" cy="468000"/>
            </a:xfrm>
          </xdr:grpSpPr>
          <xdr:sp macro="" textlink="">
            <xdr:nvSpPr>
              <xdr:cNvPr id="16" name="38 Elipse">
                <a:extLst>
                  <a:ext uri="{FF2B5EF4-FFF2-40B4-BE49-F238E27FC236}">
                    <a16:creationId xmlns:a16="http://schemas.microsoft.com/office/drawing/2014/main" id="{00000000-0008-0000-0100-000010000000}"/>
                  </a:ext>
                </a:extLst>
              </xdr:cNvPr>
              <xdr:cNvSpPr/>
            </xdr:nvSpPr>
            <xdr:spPr>
              <a:xfrm>
                <a:off x="4032063" y="4020556"/>
                <a:ext cx="468000" cy="468000"/>
              </a:xfrm>
              <a:prstGeom prst="ellipse">
                <a:avLst/>
              </a:prstGeom>
              <a:solidFill>
                <a:srgbClr val="DA4AA7"/>
              </a:solidFill>
              <a:ln>
                <a:solidFill>
                  <a:srgbClr val="00206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nl-NL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AR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17" name="39 Más">
                <a:extLst>
                  <a:ext uri="{FF2B5EF4-FFF2-40B4-BE49-F238E27FC236}">
                    <a16:creationId xmlns:a16="http://schemas.microsoft.com/office/drawing/2014/main" id="{00000000-0008-0000-0100-000011000000}"/>
                  </a:ext>
                </a:extLst>
              </xdr:cNvPr>
              <xdr:cNvSpPr/>
            </xdr:nvSpPr>
            <xdr:spPr>
              <a:xfrm>
                <a:off x="4092304" y="4074556"/>
                <a:ext cx="360000" cy="360000"/>
              </a:xfrm>
              <a:prstGeom prst="mathPlus">
                <a:avLst/>
              </a:prstGeom>
              <a:solidFill>
                <a:srgbClr val="00206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nl-NL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s-AR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</xdr:grpSp>
      <xdr:sp macro="" textlink="">
        <xdr:nvSpPr>
          <xdr:cNvPr id="8" name="37 Rectángulo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2562225" y="3211816"/>
            <a:ext cx="1733550" cy="446404"/>
          </a:xfrm>
          <a:prstGeom prst="rect">
            <a:avLst/>
          </a:prstGeom>
        </xdr:spPr>
        <xdr:txBody>
          <a:bodyPr wrap="square">
            <a:spAutoFit/>
          </a:bodyPr>
          <a:lstStyle>
            <a:defPPr>
              <a:defRPr lang="nl-NL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 defTabSz="857250"/>
            <a:r>
              <a:rPr lang="es-ES" sz="1200" b="1">
                <a:solidFill>
                  <a:srgbClr val="12223D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Nivel de adaptación del líder:</a:t>
            </a:r>
            <a:endParaRPr lang="es-ES" sz="1200">
              <a:solidFill>
                <a:srgbClr val="12223D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12</xdr:col>
      <xdr:colOff>609600</xdr:colOff>
      <xdr:row>17</xdr:row>
      <xdr:rowOff>43500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</xdr:row>
      <xdr:rowOff>0</xdr:rowOff>
    </xdr:from>
    <xdr:to>
      <xdr:col>6</xdr:col>
      <xdr:colOff>609600</xdr:colOff>
      <xdr:row>17</xdr:row>
      <xdr:rowOff>43500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12</xdr:col>
      <xdr:colOff>609600</xdr:colOff>
      <xdr:row>32</xdr:row>
      <xdr:rowOff>104775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12</xdr:col>
      <xdr:colOff>619125</xdr:colOff>
      <xdr:row>55</xdr:row>
      <xdr:rowOff>76200</xdr:rowOff>
    </xdr:to>
    <xdr:graphicFrame macro="">
      <xdr:nvGraphicFramePr>
        <xdr:cNvPr id="12" name="11 Gráfico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485775</xdr:colOff>
      <xdr:row>0</xdr:row>
      <xdr:rowOff>142875</xdr:rowOff>
    </xdr:from>
    <xdr:to>
      <xdr:col>12</xdr:col>
      <xdr:colOff>714375</xdr:colOff>
      <xdr:row>2</xdr:row>
      <xdr:rowOff>172622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pSpPr/>
      </xdr:nvGrpSpPr>
      <xdr:grpSpPr>
        <a:xfrm>
          <a:off x="4295775" y="142875"/>
          <a:ext cx="5562600" cy="534572"/>
          <a:chOff x="4733925" y="47625"/>
          <a:chExt cx="5562600" cy="534572"/>
        </a:xfrm>
      </xdr:grpSpPr>
      <xdr:grpSp>
        <xdr:nvGrpSpPr>
          <xdr:cNvPr id="14" name="9 Grupo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GrpSpPr/>
        </xdr:nvGrpSpPr>
        <xdr:grpSpPr>
          <a:xfrm>
            <a:off x="4733925" y="129174"/>
            <a:ext cx="4868419" cy="371475"/>
            <a:chOff x="5883555" y="2039940"/>
            <a:chExt cx="4481497" cy="346335"/>
          </a:xfrm>
        </xdr:grpSpPr>
        <xdr:pic>
          <xdr:nvPicPr>
            <xdr:cNvPr id="16" name="Picture 2" descr="C:\Users\Door 1\Documents\Institucional DOOR\LOGO DOOR 2020\01 Isologo Blue sin R\DOOR_IsoLogo_Horizontal_Blue_RGB_small.png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684" t="10035" r="2287" b="10035"/>
            <a:stretch/>
          </xdr:blipFill>
          <xdr:spPr bwMode="auto">
            <a:xfrm>
              <a:off x="5883555" y="2039940"/>
              <a:ext cx="2520000" cy="34633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" name="Picture 2" descr="C:\Users\Door 1\Documents\Comunicación\LOGOS\AXION-MktInst-Color.png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9720" t="22229" r="8073" b="26152"/>
            <a:stretch/>
          </xdr:blipFill>
          <xdr:spPr bwMode="auto">
            <a:xfrm>
              <a:off x="8682845" y="2047503"/>
              <a:ext cx="1682207" cy="3240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72650" y="47625"/>
            <a:ext cx="523875" cy="53457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0763-8293-4F9F-928C-691C7DE49520}">
  <dimension ref="A1"/>
  <sheetViews>
    <sheetView showGridLines="0" zoomScale="90" zoomScaleNormal="90" workbookViewId="0">
      <pane ySplit="3" topLeftCell="A4" activePane="bottomLeft" state="frozen"/>
      <selection pane="bottomLeft" activeCell="V26" sqref="V26"/>
    </sheetView>
  </sheetViews>
  <sheetFormatPr defaultColWidth="11.42578125"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CC"/>
  </sheetPr>
  <dimension ref="B1:O39"/>
  <sheetViews>
    <sheetView showGridLines="0" tabSelected="1" zoomScaleNormal="100" workbookViewId="0">
      <pane ySplit="3" topLeftCell="A4" activePane="bottomLeft" state="frozen"/>
      <selection pane="bottomLeft" activeCell="P12" sqref="P12"/>
    </sheetView>
  </sheetViews>
  <sheetFormatPr defaultColWidth="11.42578125" defaultRowHeight="14.25"/>
  <cols>
    <col min="1" max="1" width="5.85546875" style="1" customWidth="1"/>
    <col min="2" max="2" width="25" style="1" customWidth="1"/>
    <col min="3" max="3" width="5.85546875" style="1" customWidth="1"/>
    <col min="4" max="4" width="39.42578125" style="1" customWidth="1"/>
    <col min="5" max="9" width="14" style="1" customWidth="1"/>
    <col min="10" max="10" width="2.7109375" style="1" customWidth="1"/>
    <col min="11" max="16384" width="11.42578125" style="1"/>
  </cols>
  <sheetData>
    <row r="1" spans="2:15" ht="18.75" customHeight="1"/>
    <row r="3" spans="2:15" ht="18">
      <c r="B3" s="2" t="s">
        <v>0</v>
      </c>
      <c r="C3" s="2"/>
    </row>
    <row r="4" spans="2:15" ht="33" customHeight="1">
      <c r="B4" s="55" t="s">
        <v>1</v>
      </c>
      <c r="C4" s="55"/>
      <c r="D4" s="55"/>
      <c r="E4" s="55"/>
      <c r="F4" s="55"/>
      <c r="G4" s="55"/>
      <c r="H4" s="55"/>
      <c r="I4" s="55"/>
    </row>
    <row r="5" spans="2:15" ht="33" customHeight="1">
      <c r="B5" s="55"/>
      <c r="C5" s="55"/>
      <c r="D5" s="55"/>
      <c r="E5" s="55"/>
      <c r="F5" s="55"/>
      <c r="G5" s="55"/>
      <c r="H5" s="55"/>
      <c r="I5" s="55"/>
    </row>
    <row r="6" spans="2:15" ht="15" thickBot="1"/>
    <row r="7" spans="2:15" ht="30" customHeight="1" thickTop="1" thickBot="1">
      <c r="B7" s="36" t="s">
        <v>2</v>
      </c>
      <c r="C7" s="36"/>
      <c r="D7" s="36"/>
      <c r="E7" s="3">
        <v>1</v>
      </c>
      <c r="F7" s="3" t="s">
        <v>3</v>
      </c>
      <c r="G7" s="37" t="s">
        <v>4</v>
      </c>
      <c r="H7" s="38"/>
      <c r="I7" s="38"/>
    </row>
    <row r="8" spans="2:15" ht="30" customHeight="1" thickTop="1" thickBot="1">
      <c r="B8" s="36"/>
      <c r="C8" s="36"/>
      <c r="D8" s="36"/>
      <c r="E8" s="3">
        <v>2</v>
      </c>
      <c r="F8" s="3" t="s">
        <v>5</v>
      </c>
      <c r="G8" s="39" t="s">
        <v>6</v>
      </c>
      <c r="H8" s="40"/>
      <c r="I8" s="40"/>
    </row>
    <row r="9" spans="2:15" ht="30" customHeight="1" thickTop="1" thickBot="1">
      <c r="B9" s="36"/>
      <c r="C9" s="36"/>
      <c r="D9" s="36"/>
      <c r="E9" s="3">
        <v>3</v>
      </c>
      <c r="F9" s="3" t="s">
        <v>7</v>
      </c>
      <c r="G9" s="41" t="s">
        <v>8</v>
      </c>
      <c r="H9" s="42"/>
      <c r="I9" s="42"/>
    </row>
    <row r="10" spans="2:15" ht="30" customHeight="1" thickTop="1" thickBot="1">
      <c r="B10" s="45" t="s">
        <v>9</v>
      </c>
      <c r="C10" s="46"/>
      <c r="D10" s="51" t="s">
        <v>10</v>
      </c>
      <c r="E10" s="52"/>
      <c r="F10" s="49" t="s">
        <v>11</v>
      </c>
      <c r="G10" s="50"/>
      <c r="H10" s="49" t="s">
        <v>12</v>
      </c>
      <c r="I10" s="50"/>
    </row>
    <row r="11" spans="2:15" ht="30" customHeight="1" thickTop="1">
      <c r="B11" s="47"/>
      <c r="C11" s="48"/>
      <c r="D11" s="43" t="s">
        <v>13</v>
      </c>
      <c r="E11" s="44"/>
      <c r="F11" s="43" t="s">
        <v>14</v>
      </c>
      <c r="G11" s="44"/>
      <c r="H11" s="43" t="s">
        <v>15</v>
      </c>
      <c r="I11" s="44"/>
    </row>
    <row r="12" spans="2:15" ht="59.25" customHeight="1" thickBot="1"/>
    <row r="13" spans="2:15" ht="78" customHeight="1" thickTop="1" thickBot="1">
      <c r="B13" s="4" t="s">
        <v>16</v>
      </c>
      <c r="C13" s="31" t="s">
        <v>17</v>
      </c>
      <c r="D13" s="33"/>
      <c r="E13" s="5" t="s">
        <v>18</v>
      </c>
      <c r="F13" s="5" t="s">
        <v>19</v>
      </c>
      <c r="G13" s="5" t="s">
        <v>20</v>
      </c>
      <c r="H13" s="5" t="s">
        <v>21</v>
      </c>
      <c r="I13" s="5" t="s">
        <v>22</v>
      </c>
      <c r="K13" s="53" t="s">
        <v>23</v>
      </c>
      <c r="L13" s="54"/>
      <c r="M13" s="54"/>
      <c r="N13" s="54"/>
      <c r="O13" s="54"/>
    </row>
    <row r="14" spans="2:15" ht="55.5" customHeight="1" thickTop="1" thickBot="1">
      <c r="B14" s="20" t="s">
        <v>24</v>
      </c>
      <c r="C14" s="6">
        <v>1</v>
      </c>
      <c r="D14" s="18" t="s">
        <v>25</v>
      </c>
      <c r="E14" s="7">
        <v>1</v>
      </c>
      <c r="F14" s="7">
        <v>2</v>
      </c>
      <c r="G14" s="7">
        <v>2</v>
      </c>
      <c r="H14" s="7">
        <v>2</v>
      </c>
      <c r="I14" s="7">
        <v>3</v>
      </c>
    </row>
    <row r="15" spans="2:15" ht="55.5" customHeight="1" thickTop="1" thickBot="1">
      <c r="B15" s="21"/>
      <c r="C15" s="6">
        <v>2</v>
      </c>
      <c r="D15" s="18" t="s">
        <v>26</v>
      </c>
      <c r="E15" s="7">
        <v>1</v>
      </c>
      <c r="F15" s="7">
        <v>3</v>
      </c>
      <c r="G15" s="7">
        <v>3</v>
      </c>
      <c r="H15" s="7">
        <v>2</v>
      </c>
      <c r="I15" s="7">
        <v>3</v>
      </c>
    </row>
    <row r="16" spans="2:15" ht="55.5" customHeight="1" thickTop="1" thickBot="1">
      <c r="B16" s="22"/>
      <c r="C16" s="6">
        <v>3</v>
      </c>
      <c r="D16" s="18" t="s">
        <v>27</v>
      </c>
      <c r="E16" s="7">
        <v>1</v>
      </c>
      <c r="F16" s="7">
        <v>3</v>
      </c>
      <c r="G16" s="7">
        <v>2</v>
      </c>
      <c r="H16" s="7">
        <v>1</v>
      </c>
      <c r="I16" s="7">
        <v>1</v>
      </c>
    </row>
    <row r="17" spans="2:9" ht="55.5" customHeight="1" thickTop="1" thickBot="1">
      <c r="B17" s="20" t="s">
        <v>28</v>
      </c>
      <c r="C17" s="6">
        <v>4</v>
      </c>
      <c r="D17" s="18" t="s">
        <v>29</v>
      </c>
      <c r="E17" s="7">
        <v>1</v>
      </c>
      <c r="F17" s="7">
        <v>3</v>
      </c>
      <c r="G17" s="7">
        <v>3</v>
      </c>
      <c r="H17" s="7">
        <v>2</v>
      </c>
      <c r="I17" s="7">
        <v>2</v>
      </c>
    </row>
    <row r="18" spans="2:9" ht="55.5" customHeight="1" thickTop="1" thickBot="1">
      <c r="B18" s="21"/>
      <c r="C18" s="6">
        <v>5</v>
      </c>
      <c r="D18" s="18" t="s">
        <v>30</v>
      </c>
      <c r="E18" s="7">
        <v>2</v>
      </c>
      <c r="F18" s="7">
        <v>2</v>
      </c>
      <c r="G18" s="7">
        <v>1</v>
      </c>
      <c r="H18" s="7">
        <v>2</v>
      </c>
      <c r="I18" s="7">
        <v>3</v>
      </c>
    </row>
    <row r="19" spans="2:9" ht="55.5" customHeight="1" thickTop="1" thickBot="1">
      <c r="B19" s="22"/>
      <c r="C19" s="6">
        <v>6</v>
      </c>
      <c r="D19" s="18" t="s">
        <v>31</v>
      </c>
      <c r="E19" s="7">
        <v>1</v>
      </c>
      <c r="F19" s="7">
        <v>3</v>
      </c>
      <c r="G19" s="7">
        <v>2</v>
      </c>
      <c r="H19" s="7">
        <v>3</v>
      </c>
      <c r="I19" s="7">
        <v>3</v>
      </c>
    </row>
    <row r="20" spans="2:9" ht="55.5" customHeight="1" thickTop="1" thickBot="1">
      <c r="B20" s="20" t="s">
        <v>32</v>
      </c>
      <c r="C20" s="6">
        <v>7</v>
      </c>
      <c r="D20" s="18" t="s">
        <v>33</v>
      </c>
      <c r="E20" s="7">
        <v>3</v>
      </c>
      <c r="F20" s="7">
        <v>2</v>
      </c>
      <c r="G20" s="7">
        <v>3</v>
      </c>
      <c r="H20" s="7">
        <v>1</v>
      </c>
      <c r="I20" s="7">
        <v>3</v>
      </c>
    </row>
    <row r="21" spans="2:9" ht="55.5" customHeight="1" thickTop="1" thickBot="1">
      <c r="B21" s="21"/>
      <c r="C21" s="6">
        <v>8</v>
      </c>
      <c r="D21" s="18" t="s">
        <v>34</v>
      </c>
      <c r="E21" s="7">
        <v>1</v>
      </c>
      <c r="F21" s="7">
        <v>2</v>
      </c>
      <c r="G21" s="7">
        <v>3</v>
      </c>
      <c r="H21" s="7">
        <v>1</v>
      </c>
      <c r="I21" s="7">
        <v>2</v>
      </c>
    </row>
    <row r="22" spans="2:9" ht="55.5" customHeight="1" thickTop="1" thickBot="1">
      <c r="B22" s="22"/>
      <c r="C22" s="6">
        <v>9</v>
      </c>
      <c r="D22" s="18" t="s">
        <v>35</v>
      </c>
      <c r="E22" s="7">
        <v>2</v>
      </c>
      <c r="F22" s="7">
        <v>3</v>
      </c>
      <c r="G22" s="7">
        <v>3</v>
      </c>
      <c r="H22" s="7">
        <v>1</v>
      </c>
      <c r="I22" s="7">
        <v>1</v>
      </c>
    </row>
    <row r="23" spans="2:9" ht="55.5" customHeight="1" thickTop="1" thickBot="1">
      <c r="B23" s="20" t="s">
        <v>36</v>
      </c>
      <c r="C23" s="6">
        <v>10</v>
      </c>
      <c r="D23" s="18" t="s">
        <v>37</v>
      </c>
      <c r="E23" s="7">
        <v>1</v>
      </c>
      <c r="F23" s="7">
        <v>3</v>
      </c>
      <c r="G23" s="7">
        <v>3</v>
      </c>
      <c r="H23" s="7">
        <v>3</v>
      </c>
      <c r="I23" s="7">
        <v>3</v>
      </c>
    </row>
    <row r="24" spans="2:9" ht="55.5" customHeight="1" thickTop="1" thickBot="1">
      <c r="B24" s="21"/>
      <c r="C24" s="6">
        <v>11</v>
      </c>
      <c r="D24" s="19" t="s">
        <v>38</v>
      </c>
      <c r="E24" s="7">
        <v>2</v>
      </c>
      <c r="F24" s="7">
        <v>1</v>
      </c>
      <c r="G24" s="7">
        <v>1</v>
      </c>
      <c r="H24" s="7">
        <v>1</v>
      </c>
      <c r="I24" s="7">
        <v>2</v>
      </c>
    </row>
    <row r="25" spans="2:9" ht="55.5" customHeight="1" thickTop="1" thickBot="1">
      <c r="B25" s="22"/>
      <c r="C25" s="6">
        <v>12</v>
      </c>
      <c r="D25" s="18" t="s">
        <v>39</v>
      </c>
      <c r="E25" s="7">
        <v>1</v>
      </c>
      <c r="F25" s="7">
        <v>1</v>
      </c>
      <c r="G25" s="7">
        <v>2</v>
      </c>
      <c r="H25" s="7">
        <v>1</v>
      </c>
      <c r="I25" s="7">
        <v>3</v>
      </c>
    </row>
    <row r="26" spans="2:9" ht="55.5" customHeight="1" thickTop="1" thickBot="1">
      <c r="B26" s="20" t="s">
        <v>40</v>
      </c>
      <c r="C26" s="6">
        <v>13</v>
      </c>
      <c r="D26" s="18" t="s">
        <v>41</v>
      </c>
      <c r="E26" s="7">
        <v>3</v>
      </c>
      <c r="F26" s="7">
        <v>2</v>
      </c>
      <c r="G26" s="7">
        <v>3</v>
      </c>
      <c r="H26" s="7">
        <v>1</v>
      </c>
      <c r="I26" s="7">
        <v>2</v>
      </c>
    </row>
    <row r="27" spans="2:9" ht="55.5" customHeight="1" thickTop="1" thickBot="1">
      <c r="B27" s="21"/>
      <c r="C27" s="6">
        <v>14</v>
      </c>
      <c r="D27" s="18" t="s">
        <v>42</v>
      </c>
      <c r="E27" s="7">
        <v>3</v>
      </c>
      <c r="F27" s="7">
        <v>1</v>
      </c>
      <c r="G27" s="7">
        <v>3</v>
      </c>
      <c r="H27" s="7">
        <v>1</v>
      </c>
      <c r="I27" s="7">
        <v>2</v>
      </c>
    </row>
    <row r="28" spans="2:9" ht="55.5" customHeight="1" thickTop="1" thickBot="1">
      <c r="B28" s="22"/>
      <c r="C28" s="6">
        <v>15</v>
      </c>
      <c r="D28" s="18" t="s">
        <v>43</v>
      </c>
      <c r="E28" s="7">
        <v>1</v>
      </c>
      <c r="F28" s="7">
        <v>3</v>
      </c>
      <c r="G28" s="7">
        <v>3</v>
      </c>
      <c r="H28" s="7">
        <v>2</v>
      </c>
      <c r="I28" s="7">
        <v>3</v>
      </c>
    </row>
    <row r="29" spans="2:9" ht="17.25" thickTop="1" thickBot="1">
      <c r="B29" s="23" t="s">
        <v>44</v>
      </c>
      <c r="C29" s="23"/>
      <c r="D29" s="24"/>
      <c r="E29" s="8">
        <f>AVERAGE(E14:E28)/3</f>
        <v>0.53333333333333333</v>
      </c>
      <c r="F29" s="8">
        <f t="shared" ref="F29:I29" si="0">AVERAGE(F14:F28)/3</f>
        <v>0.75555555555555554</v>
      </c>
      <c r="G29" s="8">
        <f t="shared" si="0"/>
        <v>0.8222222222222223</v>
      </c>
      <c r="H29" s="8">
        <f t="shared" si="0"/>
        <v>0.53333333333333333</v>
      </c>
      <c r="I29" s="8">
        <f t="shared" si="0"/>
        <v>0.79999999999999993</v>
      </c>
    </row>
    <row r="30" spans="2:9" ht="15.75" thickTop="1" thickBot="1"/>
    <row r="31" spans="2:9" ht="31.5" thickTop="1" thickBot="1">
      <c r="B31" s="31" t="s">
        <v>45</v>
      </c>
      <c r="C31" s="32"/>
      <c r="D31" s="33"/>
      <c r="E31" s="5" t="s">
        <v>18</v>
      </c>
      <c r="F31" s="5" t="s">
        <v>19</v>
      </c>
      <c r="G31" s="5" t="s">
        <v>20</v>
      </c>
      <c r="H31" s="5" t="s">
        <v>21</v>
      </c>
      <c r="I31" s="5" t="s">
        <v>22</v>
      </c>
    </row>
    <row r="32" spans="2:9" ht="31.5" thickTop="1" thickBot="1">
      <c r="B32" s="25" t="s">
        <v>46</v>
      </c>
      <c r="C32" s="26"/>
      <c r="D32" s="27"/>
      <c r="E32" s="9" t="s">
        <v>10</v>
      </c>
      <c r="F32" s="9" t="s">
        <v>11</v>
      </c>
      <c r="G32" s="9" t="s">
        <v>12</v>
      </c>
      <c r="H32" s="9" t="s">
        <v>10</v>
      </c>
      <c r="I32" s="9" t="s">
        <v>11</v>
      </c>
    </row>
    <row r="33" spans="2:9" ht="17.25" thickTop="1" thickBot="1">
      <c r="B33" s="28" t="s">
        <v>24</v>
      </c>
      <c r="C33" s="29"/>
      <c r="D33" s="30"/>
      <c r="E33" s="10">
        <f>AVERAGE(E14:E16)</f>
        <v>1</v>
      </c>
      <c r="F33" s="10">
        <f t="shared" ref="F33:I33" si="1">AVERAGE(F14:F16)</f>
        <v>2.6666666666666665</v>
      </c>
      <c r="G33" s="10">
        <f t="shared" si="1"/>
        <v>2.3333333333333335</v>
      </c>
      <c r="H33" s="10">
        <f t="shared" si="1"/>
        <v>1.6666666666666667</v>
      </c>
      <c r="I33" s="10">
        <f t="shared" si="1"/>
        <v>2.3333333333333335</v>
      </c>
    </row>
    <row r="34" spans="2:9" ht="17.25" thickTop="1" thickBot="1">
      <c r="B34" s="28" t="s">
        <v>28</v>
      </c>
      <c r="C34" s="29"/>
      <c r="D34" s="30"/>
      <c r="E34" s="10">
        <f>AVERAGE(E17:E19)</f>
        <v>1.3333333333333333</v>
      </c>
      <c r="F34" s="10">
        <f t="shared" ref="F34:I34" si="2">AVERAGE(F17:F19)</f>
        <v>2.6666666666666665</v>
      </c>
      <c r="G34" s="10">
        <f t="shared" si="2"/>
        <v>2</v>
      </c>
      <c r="H34" s="10">
        <f t="shared" si="2"/>
        <v>2.3333333333333335</v>
      </c>
      <c r="I34" s="10">
        <f t="shared" si="2"/>
        <v>2.6666666666666665</v>
      </c>
    </row>
    <row r="35" spans="2:9" ht="17.25" thickTop="1" thickBot="1">
      <c r="B35" s="28" t="s">
        <v>32</v>
      </c>
      <c r="C35" s="29"/>
      <c r="D35" s="30"/>
      <c r="E35" s="10">
        <f>AVERAGE(E20:E22)</f>
        <v>2</v>
      </c>
      <c r="F35" s="10">
        <f t="shared" ref="F35:I35" si="3">AVERAGE(F20:F22)</f>
        <v>2.3333333333333335</v>
      </c>
      <c r="G35" s="10">
        <f t="shared" si="3"/>
        <v>3</v>
      </c>
      <c r="H35" s="10">
        <f t="shared" si="3"/>
        <v>1</v>
      </c>
      <c r="I35" s="10">
        <f t="shared" si="3"/>
        <v>2</v>
      </c>
    </row>
    <row r="36" spans="2:9" ht="17.25" customHeight="1" thickTop="1" thickBot="1">
      <c r="B36" s="28" t="s">
        <v>36</v>
      </c>
      <c r="C36" s="29"/>
      <c r="D36" s="30"/>
      <c r="E36" s="10">
        <f>AVERAGE(E23:E25)</f>
        <v>1.3333333333333333</v>
      </c>
      <c r="F36" s="10">
        <f t="shared" ref="F36:I36" si="4">AVERAGE(F23:F25)</f>
        <v>1.6666666666666667</v>
      </c>
      <c r="G36" s="10">
        <f t="shared" si="4"/>
        <v>2</v>
      </c>
      <c r="H36" s="10">
        <f t="shared" si="4"/>
        <v>1.6666666666666667</v>
      </c>
      <c r="I36" s="10">
        <f t="shared" si="4"/>
        <v>2.6666666666666665</v>
      </c>
    </row>
    <row r="37" spans="2:9" ht="17.25" thickTop="1" thickBot="1">
      <c r="B37" s="34" t="s">
        <v>40</v>
      </c>
      <c r="C37" s="35"/>
      <c r="D37" s="35"/>
      <c r="E37" s="10">
        <f>AVERAGE(E26:E28)</f>
        <v>2.3333333333333335</v>
      </c>
      <c r="F37" s="10">
        <f t="shared" ref="F37:I37" si="5">AVERAGE(F26:F28)</f>
        <v>2</v>
      </c>
      <c r="G37" s="10">
        <f t="shared" si="5"/>
        <v>3</v>
      </c>
      <c r="H37" s="10">
        <f t="shared" si="5"/>
        <v>1.3333333333333333</v>
      </c>
      <c r="I37" s="10">
        <f t="shared" si="5"/>
        <v>2.3333333333333335</v>
      </c>
    </row>
    <row r="38" spans="2:9" ht="17.25" thickTop="1" thickBot="1">
      <c r="B38" s="23" t="s">
        <v>44</v>
      </c>
      <c r="C38" s="23"/>
      <c r="D38" s="24"/>
      <c r="E38" s="11">
        <f>E29</f>
        <v>0.53333333333333333</v>
      </c>
      <c r="F38" s="11">
        <f t="shared" ref="F38:I38" si="6">F29</f>
        <v>0.75555555555555554</v>
      </c>
      <c r="G38" s="11">
        <f t="shared" si="6"/>
        <v>0.8222222222222223</v>
      </c>
      <c r="H38" s="11">
        <f t="shared" si="6"/>
        <v>0.53333333333333333</v>
      </c>
      <c r="I38" s="11">
        <f t="shared" si="6"/>
        <v>0.79999999999999993</v>
      </c>
    </row>
    <row r="39" spans="2:9" ht="15" thickTop="1"/>
  </sheetData>
  <mergeCells count="28">
    <mergeCell ref="K13:O13"/>
    <mergeCell ref="B4:I5"/>
    <mergeCell ref="B14:B16"/>
    <mergeCell ref="B17:B19"/>
    <mergeCell ref="B20:B22"/>
    <mergeCell ref="B23:B25"/>
    <mergeCell ref="B7:D9"/>
    <mergeCell ref="G7:I7"/>
    <mergeCell ref="G8:I8"/>
    <mergeCell ref="G9:I9"/>
    <mergeCell ref="C13:D13"/>
    <mergeCell ref="F11:G11"/>
    <mergeCell ref="H11:I11"/>
    <mergeCell ref="D11:E11"/>
    <mergeCell ref="B10:C11"/>
    <mergeCell ref="F10:G10"/>
    <mergeCell ref="D10:E10"/>
    <mergeCell ref="H10:I10"/>
    <mergeCell ref="B26:B28"/>
    <mergeCell ref="B29:D29"/>
    <mergeCell ref="B38:D38"/>
    <mergeCell ref="B32:D32"/>
    <mergeCell ref="B33:D33"/>
    <mergeCell ref="B31:D31"/>
    <mergeCell ref="B34:D34"/>
    <mergeCell ref="B35:D35"/>
    <mergeCell ref="B36:D36"/>
    <mergeCell ref="B37:D37"/>
  </mergeCells>
  <dataValidations count="2">
    <dataValidation type="list" allowBlank="1" showInputMessage="1" showErrorMessage="1" sqref="E14:I28" xr:uid="{00000000-0002-0000-0000-000000000000}">
      <formula1>$E$7:$E$9</formula1>
    </dataValidation>
    <dataValidation type="list" allowBlank="1" showInputMessage="1" showErrorMessage="1" sqref="E32:I32" xr:uid="{00000000-0002-0000-0000-000001000000}">
      <formula1>$D$10:$I$10</formula1>
    </dataValidation>
  </dataValidations>
  <pageMargins left="0.7" right="0.7" top="0.75" bottom="0.75" header="0.3" footer="0.3"/>
  <pageSetup paperSize="9" orientation="portrait" r:id="rId1"/>
  <ignoredErrors>
    <ignoredError sqref="E33:I37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23"/>
  <sheetViews>
    <sheetView showGridLines="0" topLeftCell="B1" zoomScale="120" zoomScaleNormal="120" workbookViewId="0">
      <pane ySplit="3" topLeftCell="A4" activePane="bottomLeft" state="frozen"/>
      <selection pane="bottomLeft" activeCell="R24" sqref="R24"/>
      <selection activeCell="B1" sqref="B1"/>
    </sheetView>
  </sheetViews>
  <sheetFormatPr defaultColWidth="11.42578125" defaultRowHeight="14.25"/>
  <cols>
    <col min="1" max="12" width="11.42578125" style="1"/>
    <col min="13" max="13" width="11.42578125" style="1" customWidth="1"/>
    <col min="14" max="14" width="19.28515625" style="1" customWidth="1"/>
    <col min="15" max="16" width="11.42578125" style="1"/>
    <col min="17" max="17" width="14.7109375" style="1" customWidth="1"/>
    <col min="18" max="18" width="16.28515625" style="1" customWidth="1"/>
    <col min="19" max="16384" width="11.42578125" style="1"/>
  </cols>
  <sheetData>
    <row r="1" spans="2:19" ht="25.5" customHeight="1"/>
    <row r="3" spans="2:19" ht="18">
      <c r="B3" s="59" t="s">
        <v>47</v>
      </c>
      <c r="C3" s="59"/>
      <c r="D3" s="59"/>
      <c r="E3" s="59"/>
    </row>
    <row r="5" spans="2:19">
      <c r="N5" s="12" t="s">
        <v>48</v>
      </c>
      <c r="O5" s="12"/>
      <c r="P5" s="12"/>
      <c r="Q5" s="12"/>
      <c r="S5" s="13"/>
    </row>
    <row r="6" spans="2:19">
      <c r="N6" s="12" t="s">
        <v>49</v>
      </c>
      <c r="O6" s="12"/>
      <c r="P6" s="12"/>
      <c r="Q6" s="12"/>
      <c r="S6" s="13"/>
    </row>
    <row r="7" spans="2:19">
      <c r="N7" s="12" t="s">
        <v>50</v>
      </c>
      <c r="O7" s="12"/>
      <c r="P7" s="12"/>
      <c r="Q7" s="12"/>
      <c r="R7" s="14"/>
      <c r="S7" s="13"/>
    </row>
    <row r="8" spans="2:19">
      <c r="N8" s="12" t="s">
        <v>51</v>
      </c>
      <c r="O8" s="12"/>
      <c r="P8" s="12"/>
      <c r="Q8" s="12"/>
    </row>
    <row r="19" spans="2:5" ht="15" thickBot="1"/>
    <row r="20" spans="2:5" ht="15.75" thickTop="1" thickBot="1">
      <c r="B20" s="56" t="s">
        <v>46</v>
      </c>
      <c r="C20" s="57"/>
      <c r="D20" s="58"/>
    </row>
    <row r="21" spans="2:5" ht="24.75" thickTop="1">
      <c r="B21" s="17" t="s">
        <v>52</v>
      </c>
      <c r="C21" s="17" t="s">
        <v>53</v>
      </c>
      <c r="D21" s="17" t="s">
        <v>54</v>
      </c>
      <c r="E21" s="17" t="s">
        <v>55</v>
      </c>
    </row>
    <row r="22" spans="2:5">
      <c r="B22" s="15">
        <f>COUNTIF('Mapa de motivaciones'!E32:I32,'Mapa de motivaciones'!D10)</f>
        <v>2</v>
      </c>
      <c r="C22" s="15">
        <f>COUNTIF('Mapa de motivaciones'!E32:I32,'Mapa de motivaciones'!F10)</f>
        <v>2</v>
      </c>
      <c r="D22" s="15">
        <f>COUNTIF('Mapa de motivaciones'!E32:I32,'Mapa de motivaciones'!H10)</f>
        <v>1</v>
      </c>
      <c r="E22" s="15">
        <f>SUM(B22:D22)</f>
        <v>5</v>
      </c>
    </row>
    <row r="23" spans="2:5">
      <c r="B23" s="16">
        <f>B22/E22</f>
        <v>0.4</v>
      </c>
      <c r="C23" s="16">
        <f>C22/E22</f>
        <v>0.4</v>
      </c>
      <c r="D23" s="16">
        <f>D22/E22</f>
        <v>0.2</v>
      </c>
      <c r="E23" s="16">
        <f>SUM(B23:D23)</f>
        <v>1</v>
      </c>
    </row>
  </sheetData>
  <mergeCells count="2">
    <mergeCell ref="B20:D20"/>
    <mergeCell ref="B3:E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BD8CCC1CD8BE4BBFAC195CB9139C4E" ma:contentTypeVersion="20" ma:contentTypeDescription="Crear nuevo documento." ma:contentTypeScope="" ma:versionID="328d1a775ffdab5a75c334f7986c2f4c">
  <xsd:schema xmlns:xsd="http://www.w3.org/2001/XMLSchema" xmlns:xs="http://www.w3.org/2001/XMLSchema" xmlns:p="http://schemas.microsoft.com/office/2006/metadata/properties" xmlns:ns1="http://schemas.microsoft.com/sharepoint/v3" xmlns:ns2="960bfb8c-167b-4869-a4b2-47270083d7e2" xmlns:ns3="bde50644-502d-47a0-8780-370fe3cf5798" targetNamespace="http://schemas.microsoft.com/office/2006/metadata/properties" ma:root="true" ma:fieldsID="816101526fa3b5497849e49b35fe1d4c" ns1:_="" ns2:_="" ns3:_="">
    <xsd:import namespace="http://schemas.microsoft.com/sharepoint/v3"/>
    <xsd:import namespace="960bfb8c-167b-4869-a4b2-47270083d7e2"/>
    <xsd:import namespace="bde50644-502d-47a0-8780-370fe3cf57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bfb8c-167b-4869-a4b2-47270083d7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01e8241c-98aa-40c5-96a1-9b567ab074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50644-502d-47a0-8780-370fe3cf579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f8f4275-9be9-4ca3-9026-285e6f6def69}" ma:internalName="TaxCatchAll" ma:showField="CatchAllData" ma:web="bde50644-502d-47a0-8780-370fe3cf57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bde50644-502d-47a0-8780-370fe3cf5798" xsi:nil="true"/>
    <lcf76f155ced4ddcb4097134ff3c332f xmlns="960bfb8c-167b-4869-a4b2-47270083d7e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10B762-E673-45D8-81F1-A49DC4D9A128}"/>
</file>

<file path=customXml/itemProps2.xml><?xml version="1.0" encoding="utf-8"?>
<ds:datastoreItem xmlns:ds="http://schemas.openxmlformats.org/officeDocument/2006/customXml" ds:itemID="{DD7883CB-DAF4-4840-8BCC-1EDD3B6536BE}"/>
</file>

<file path=customXml/itemProps3.xml><?xml version="1.0" encoding="utf-8"?>
<ds:datastoreItem xmlns:ds="http://schemas.openxmlformats.org/officeDocument/2006/customXml" ds:itemID="{43BFEA32-230C-4BE5-96D0-EB2D1617F6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Santiago Kawabata</cp:lastModifiedBy>
  <cp:revision/>
  <dcterms:created xsi:type="dcterms:W3CDTF">2019-03-19T17:39:29Z</dcterms:created>
  <dcterms:modified xsi:type="dcterms:W3CDTF">2024-10-28T18:18:56Z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0x01010084BD8CCC1CD8BE4BBFAC195CB9139C4E</vt:lpwstr>
  </property>
  <property fmtid="{D5CDD505-2E9C-101B-9397-08002B2CF9AE}" pid="3" name="MediaServiceImageTags">
    <vt:lpwstr/>
  </property>
</Properties>
</file>